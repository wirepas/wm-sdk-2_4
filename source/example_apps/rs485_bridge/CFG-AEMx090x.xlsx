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ort\doc\deliverables\review\AEM00900\"/>
    </mc:Choice>
  </mc:AlternateContent>
  <xr:revisionPtr revIDLastSave="0" documentId="13_ncr:1_{768C2053-13FF-4D85-853D-8E591D8A2E86}" xr6:coauthVersionLast="47" xr6:coauthVersionMax="47" xr10:uidLastSave="{00000000-0000-0000-0000-000000000000}"/>
  <workbookProtection workbookAlgorithmName="SHA-512" workbookHashValue="QJiBfK8tgi4gzp76pJ+rknszO88RxBPCbsWhOkv+0JkecaaZZ/aSHFRnU+wcDCaiuZEXuPHbU6+nj4K8jHG/cg==" workbookSaltValue="sieuBa55tbXlQZ7xyScbhw==" workbookSpinCount="100000" lockStructure="1"/>
  <bookViews>
    <workbookView xWindow="-120" yWindow="-120" windowWidth="29040" windowHeight="15720" xr2:uid="{3DD11BB0-E4D3-4096-BE4B-52C03D710F49}"/>
  </bookViews>
  <sheets>
    <sheet name="Calculator" sheetId="1" r:id="rId1"/>
    <sheet name="Revision History" sheetId="3" r:id="rId2"/>
  </sheets>
  <definedNames>
    <definedName name="_xlnm.Print_Area" localSheetId="0">Calculator!$A$1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23" i="1" s="1"/>
  <c r="G21" i="1" l="1"/>
  <c r="G30" i="1" l="1"/>
  <c r="G32" i="1" s="1"/>
  <c r="G77" i="1"/>
  <c r="G54" i="1"/>
  <c r="G56" i="1" s="1"/>
  <c r="G42" i="1" l="1"/>
  <c r="G41" i="1" l="1"/>
  <c r="G43" i="1"/>
  <c r="G69" i="1" l="1"/>
  <c r="G68" i="1" s="1"/>
  <c r="G46" i="1"/>
  <c r="G45" i="1" s="1"/>
  <c r="G47" i="1"/>
  <c r="G79" i="1" l="1"/>
</calcChain>
</file>

<file path=xl/sharedStrings.xml><?xml version="1.0" encoding="utf-8"?>
<sst xmlns="http://schemas.openxmlformats.org/spreadsheetml/2006/main" count="180" uniqueCount="103">
  <si>
    <t>Fill BLANK CELLS</t>
  </si>
  <si>
    <t>Results</t>
  </si>
  <si>
    <t>Source Data Register</t>
  </si>
  <si>
    <t>β</t>
  </si>
  <si>
    <t>Thermal Monitoring DATA Register</t>
  </si>
  <si>
    <t>Temperature [°C]</t>
  </si>
  <si>
    <t>Temperature  [°C]</t>
  </si>
  <si>
    <t>Source voltage [V]</t>
  </si>
  <si>
    <t>Storage element voltage [V]</t>
  </si>
  <si>
    <t>Parameter</t>
  </si>
  <si>
    <t>Value</t>
  </si>
  <si>
    <t>Min.</t>
  </si>
  <si>
    <t>Max.</t>
  </si>
  <si>
    <t>Description</t>
  </si>
  <si>
    <t>Value to write to the VOVDIS register (address 0x02)</t>
  </si>
  <si>
    <t>Value to write to the VOVCH register (address 0x03)</t>
  </si>
  <si>
    <t>4.05 V</t>
  </si>
  <si>
    <t>4.78 V</t>
  </si>
  <si>
    <t>0x3F</t>
  </si>
  <si>
    <t>0.00 V</t>
  </si>
  <si>
    <t>0x00</t>
  </si>
  <si>
    <t>0xFF</t>
  </si>
  <si>
    <t>Storage element voltage corresponding to the value read in STO register.</t>
  </si>
  <si>
    <t>Source voltage corresponding to the value read in SRC register.</t>
  </si>
  <si>
    <t>Thermal Monitoring Threshold Configuration</t>
  </si>
  <si>
    <t>Register value (integer)</t>
  </si>
  <si>
    <t>Value to write to TEMPCOLD or TEMPHOT register (addresses 0x04 and 0x05 resp.)</t>
  </si>
  <si>
    <t>Temperature corresponding to the read value from TEMP register.</t>
  </si>
  <si>
    <t>5 kΩ</t>
  </si>
  <si>
    <t>33 kΩ</t>
  </si>
  <si>
    <t>Typ. 3380</t>
  </si>
  <si>
    <t>TEMP register value (integer)</t>
  </si>
  <si>
    <t>Hex.</t>
  </si>
  <si>
    <t>Dec.</t>
  </si>
  <si>
    <t>STO register (integer)</t>
  </si>
  <si>
    <t>SRC register (integer)</t>
  </si>
  <si>
    <r>
      <t>Typ. 10 k</t>
    </r>
    <r>
      <rPr>
        <sz val="11"/>
        <color theme="1"/>
        <rFont val="Calibri"/>
        <family val="2"/>
      </rPr>
      <t>Ω</t>
    </r>
  </si>
  <si>
    <t>Depends on the thermoresistor</t>
  </si>
  <si>
    <t>Desired temperature threshold for TEMPCOLD or TEMPHOT (min. and max. temperatures specified according to AEM specifications)</t>
  </si>
  <si>
    <t>0x01</t>
  </si>
  <si>
    <t>Corresponding overdischarge voltage level for the battery</t>
  </si>
  <si>
    <r>
      <t xml:space="preserve">Corresponding </t>
    </r>
    <r>
      <rPr>
        <sz val="11"/>
        <rFont val="Calibri"/>
        <family val="2"/>
        <scheme val="minor"/>
      </rPr>
      <t>overcharge voltage level for the battery</t>
    </r>
  </si>
  <si>
    <r>
      <rPr>
        <b/>
        <sz val="11"/>
        <color rgb="FFDDAC2A"/>
        <rFont val="Calibri"/>
        <family val="2"/>
        <scheme val="minor"/>
      </rPr>
      <t>V</t>
    </r>
    <r>
      <rPr>
        <b/>
        <vertAlign val="subscript"/>
        <sz val="11"/>
        <color rgb="FFDDAC2A"/>
        <rFont val="Calibri"/>
        <family val="2"/>
        <scheme val="minor"/>
      </rPr>
      <t>OVDIS</t>
    </r>
    <r>
      <rPr>
        <b/>
        <sz val="11"/>
        <color rgb="FF142918"/>
        <rFont val="Calibri"/>
        <family val="2"/>
        <scheme val="minor"/>
      </rPr>
      <t xml:space="preserve"> [V]</t>
    </r>
  </si>
  <si>
    <r>
      <rPr>
        <b/>
        <sz val="11"/>
        <color rgb="FFDDAC2A"/>
        <rFont val="Calibri"/>
        <family val="2"/>
        <scheme val="minor"/>
      </rPr>
      <t>V</t>
    </r>
    <r>
      <rPr>
        <b/>
        <vertAlign val="subscript"/>
        <sz val="11"/>
        <color rgb="FFDDAC2A"/>
        <rFont val="Calibri"/>
        <family val="2"/>
        <scheme val="minor"/>
      </rPr>
      <t>OVCH</t>
    </r>
    <r>
      <rPr>
        <b/>
        <sz val="11"/>
        <color rgb="FF142918"/>
        <rFont val="Calibri"/>
        <family val="2"/>
        <scheme val="minor"/>
      </rPr>
      <t xml:space="preserve"> [V]</t>
    </r>
  </si>
  <si>
    <r>
      <rPr>
        <b/>
        <sz val="11"/>
        <color rgb="FFDDAC2A"/>
        <rFont val="Calibri"/>
        <family val="2"/>
        <scheme val="minor"/>
      </rPr>
      <t>R</t>
    </r>
    <r>
      <rPr>
        <b/>
        <vertAlign val="subscript"/>
        <sz val="11"/>
        <color rgb="FFDDAC2A"/>
        <rFont val="Calibri"/>
        <family val="2"/>
        <scheme val="minor"/>
      </rPr>
      <t>DIV</t>
    </r>
    <r>
      <rPr>
        <b/>
        <sz val="11"/>
        <color rgb="FF142918"/>
        <rFont val="Calibri"/>
        <family val="2"/>
        <scheme val="minor"/>
      </rPr>
      <t xml:space="preserve"> [k</t>
    </r>
    <r>
      <rPr>
        <b/>
        <sz val="11"/>
        <color rgb="FF142918"/>
        <rFont val="Calibri"/>
        <family val="2"/>
      </rPr>
      <t>Ω</t>
    </r>
    <r>
      <rPr>
        <b/>
        <sz val="11"/>
        <color rgb="FF142918"/>
        <rFont val="Calibri"/>
        <family val="2"/>
        <scheme val="minor"/>
      </rPr>
      <t>]</t>
    </r>
  </si>
  <si>
    <r>
      <rPr>
        <b/>
        <sz val="11"/>
        <color rgb="FFDDAC2A"/>
        <rFont val="Calibri"/>
        <family val="2"/>
        <scheme val="minor"/>
      </rPr>
      <t>R</t>
    </r>
    <r>
      <rPr>
        <b/>
        <vertAlign val="subscript"/>
        <sz val="11"/>
        <color rgb="FFDDAC2A"/>
        <rFont val="Calibri"/>
        <family val="2"/>
        <scheme val="minor"/>
      </rPr>
      <t>TH</t>
    </r>
    <r>
      <rPr>
        <b/>
        <sz val="11"/>
        <color rgb="FF142918"/>
        <rFont val="Calibri"/>
        <family val="2"/>
        <scheme val="minor"/>
      </rPr>
      <t xml:space="preserve"> [kΩ]</t>
    </r>
  </si>
  <si>
    <t>Register value VOVDIS (integer)</t>
  </si>
  <si>
    <t>Register value VOVCH (integer)</t>
  </si>
  <si>
    <r>
      <t xml:space="preserve">Resistor that creates a resistive voltage divider with </t>
    </r>
    <r>
      <rPr>
        <sz val="11"/>
        <color rgb="FFDDAC2A"/>
        <rFont val="Calibri"/>
        <family val="2"/>
        <scheme val="minor"/>
      </rPr>
      <t>R</t>
    </r>
    <r>
      <rPr>
        <vertAlign val="subscript"/>
        <sz val="11"/>
        <color rgb="FFDDAC2A"/>
        <rFont val="Calibri"/>
        <family val="2"/>
        <scheme val="minor"/>
      </rPr>
      <t>TH</t>
    </r>
    <r>
      <rPr>
        <i/>
        <sz val="11"/>
        <rFont val="Calibri"/>
        <family val="2"/>
        <scheme val="minor"/>
      </rPr>
      <t>.</t>
    </r>
  </si>
  <si>
    <r>
      <t xml:space="preserve">Resistor at 25°C of </t>
    </r>
    <r>
      <rPr>
        <sz val="11"/>
        <color rgb="FFDDAC2A"/>
        <rFont val="Calibri"/>
        <family val="2"/>
        <scheme val="minor"/>
      </rPr>
      <t>R</t>
    </r>
    <r>
      <rPr>
        <vertAlign val="subscript"/>
        <sz val="11"/>
        <color rgb="FFDDAC2A"/>
        <rFont val="Calibri"/>
        <family val="2"/>
        <scheme val="minor"/>
      </rPr>
      <t>TH</t>
    </r>
    <r>
      <rPr>
        <i/>
        <sz val="11"/>
        <rFont val="Calibri"/>
        <family val="2"/>
        <scheme val="minor"/>
      </rPr>
      <t xml:space="preserve"> thermistor.</t>
    </r>
  </si>
  <si>
    <r>
      <t xml:space="preserve">Beta of </t>
    </r>
    <r>
      <rPr>
        <sz val="11"/>
        <color rgb="FFDDAC2A"/>
        <rFont val="Calibri"/>
        <family val="2"/>
        <scheme val="minor"/>
      </rPr>
      <t>R</t>
    </r>
    <r>
      <rPr>
        <vertAlign val="subscript"/>
        <sz val="11"/>
        <color rgb="FFDDAC2A"/>
        <rFont val="Calibri"/>
        <family val="2"/>
        <scheme val="minor"/>
      </rPr>
      <t>TH</t>
    </r>
    <r>
      <rPr>
        <i/>
        <sz val="11"/>
        <rFont val="Calibri"/>
        <family val="2"/>
        <scheme val="minor"/>
      </rPr>
      <t xml:space="preserve"> thermistor.</t>
    </r>
  </si>
  <si>
    <t>Read Value</t>
  </si>
  <si>
    <t>Target 
Values</t>
  </si>
  <si>
    <t>2.51 V</t>
  </si>
  <si>
    <t>2.70 V</t>
  </si>
  <si>
    <r>
      <t xml:space="preserve">Define the overdischarge level for the storage element </t>
    </r>
    <r>
      <rPr>
        <sz val="11"/>
        <rFont val="Calibri"/>
        <family val="2"/>
        <scheme val="minor"/>
      </rPr>
      <t xml:space="preserve">( </t>
    </r>
    <r>
      <rPr>
        <b/>
        <sz val="11"/>
        <color rgb="FFDDAC2A"/>
        <rFont val="Calibri"/>
        <family val="2"/>
        <scheme val="minor"/>
      </rPr>
      <t>V</t>
    </r>
    <r>
      <rPr>
        <b/>
        <vertAlign val="subscript"/>
        <sz val="11"/>
        <color rgb="FFDDAC2A"/>
        <rFont val="Calibri"/>
        <family val="2"/>
        <scheme val="minor"/>
      </rPr>
      <t>OVDIS</t>
    </r>
    <r>
      <rPr>
        <sz val="11"/>
        <rFont val="Calibri"/>
        <family val="2"/>
        <scheme val="minor"/>
      </rPr>
      <t xml:space="preserve"> &lt; </t>
    </r>
    <r>
      <rPr>
        <b/>
        <sz val="11"/>
        <color rgb="FFDDAC2A"/>
        <rFont val="Calibri"/>
        <family val="2"/>
        <scheme val="minor"/>
      </rPr>
      <t>V</t>
    </r>
    <r>
      <rPr>
        <b/>
        <vertAlign val="subscript"/>
        <sz val="11"/>
        <color rgb="FFDDAC2A"/>
        <rFont val="Calibri"/>
        <family val="2"/>
        <scheme val="minor"/>
      </rPr>
      <t xml:space="preserve">OVCH </t>
    </r>
    <r>
      <rPr>
        <sz val="11"/>
        <rFont val="Calibri"/>
        <family val="2"/>
        <scheme val="minor"/>
      </rPr>
      <t>)</t>
    </r>
  </si>
  <si>
    <r>
      <t>Define the overcharge level for the storage element (</t>
    </r>
    <r>
      <rPr>
        <b/>
        <sz val="11"/>
        <color rgb="FFDDAC2A"/>
        <rFont val="Calibri"/>
        <family val="2"/>
        <scheme val="minor"/>
      </rPr>
      <t>V</t>
    </r>
    <r>
      <rPr>
        <b/>
        <vertAlign val="subscript"/>
        <sz val="11"/>
        <color rgb="FFDDAC2A"/>
        <rFont val="Calibri"/>
        <family val="2"/>
        <scheme val="minor"/>
      </rPr>
      <t>OVDIS</t>
    </r>
    <r>
      <rPr>
        <sz val="11"/>
        <rFont val="Calibri"/>
        <family val="2"/>
        <scheme val="minor"/>
      </rPr>
      <t xml:space="preserve"> &lt; </t>
    </r>
    <r>
      <rPr>
        <b/>
        <sz val="11"/>
        <color rgb="FFDDAC2A"/>
        <rFont val="Calibri"/>
        <family val="2"/>
        <scheme val="minor"/>
      </rPr>
      <t>V</t>
    </r>
    <r>
      <rPr>
        <b/>
        <vertAlign val="subscript"/>
        <sz val="11"/>
        <color rgb="FFDDAC2A"/>
        <rFont val="Calibri"/>
        <family val="2"/>
        <scheme val="minor"/>
      </rPr>
      <t>OVCH</t>
    </r>
    <r>
      <rPr>
        <i/>
        <sz val="11"/>
        <rFont val="Calibri"/>
        <family val="2"/>
        <scheme val="minor"/>
      </rPr>
      <t>)</t>
    </r>
  </si>
  <si>
    <t>Target Value</t>
  </si>
  <si>
    <t>Parameters</t>
  </si>
  <si>
    <t>0x23</t>
  </si>
  <si>
    <t>0x1A</t>
  </si>
  <si>
    <t>Hexadecimal value read from STO register (address 0x12).</t>
  </si>
  <si>
    <t>Hexadecimal value read from SRC register (address 0x13).</t>
  </si>
  <si>
    <t>0xA6</t>
  </si>
  <si>
    <t>Decimal representation of the number entered above.</t>
  </si>
  <si>
    <t>0x50</t>
  </si>
  <si>
    <t>Hexadecimal value read from TEMP register (address 0x11)</t>
  </si>
  <si>
    <t>Storage Data Register</t>
  </si>
  <si>
    <t>Revision</t>
  </si>
  <si>
    <t>Date</t>
  </si>
  <si>
    <t>v1.0</t>
  </si>
  <si>
    <t>April, 2025</t>
  </si>
  <si>
    <t>Creation of the document</t>
  </si>
  <si>
    <t>August, 2021</t>
  </si>
  <si>
    <t>v1.1</t>
  </si>
  <si>
    <t>June, 2023</t>
  </si>
  <si>
    <t>v1.2</t>
  </si>
  <si>
    <t>- Added Revision History tab</t>
  </si>
  <si>
    <t>- Done some formating to improve user experience</t>
  </si>
  <si>
    <t>- Modified hyperlink in description</t>
  </si>
  <si>
    <t>STORAGE ELEMENT VOLTAGE THRESHOLDS CONFIGURATION
(Available for: AEM00900, AEM00901, AEM10900 and AEM10901)</t>
  </si>
  <si>
    <t>THERMAL MONITORING
(Available for: AEM00900, AEM00901, AEM10900 and AEM10901)</t>
  </si>
  <si>
    <t>- Register values are now introduced in hexadecimal format instead of decimal format</t>
  </si>
  <si>
    <t>Done some formarting for datasheet coherence</t>
  </si>
  <si>
    <t>0.112 V</t>
  </si>
  <si>
    <t>2.682 V</t>
  </si>
  <si>
    <t>0x20</t>
  </si>
  <si>
    <t>0xA0</t>
  </si>
  <si>
    <r>
      <rPr>
        <b/>
        <sz val="11"/>
        <color rgb="FFDDAC2A"/>
        <rFont val="Calibri"/>
        <family val="2"/>
        <scheme val="minor"/>
      </rPr>
      <t>V</t>
    </r>
    <r>
      <rPr>
        <b/>
        <vertAlign val="subscript"/>
        <sz val="11"/>
        <color rgb="FFDDAC2A"/>
        <rFont val="Calibri"/>
        <family val="2"/>
        <scheme val="minor"/>
      </rPr>
      <t>SRC,REG</t>
    </r>
    <r>
      <rPr>
        <b/>
        <sz val="11"/>
        <color rgb="FF142918"/>
        <rFont val="Calibri"/>
        <family val="2"/>
        <scheme val="minor"/>
      </rPr>
      <t xml:space="preserve"> [V]</t>
    </r>
  </si>
  <si>
    <t>Source voltage regulation value.</t>
  </si>
  <si>
    <t>2.727 V</t>
  </si>
  <si>
    <t>Register value SRCREGU (integer)</t>
  </si>
  <si>
    <t>Value to write to the SRCREGU register (address 0x01)</t>
  </si>
  <si>
    <t>Decimal representation of the above value.</t>
  </si>
  <si>
    <t>0x0C</t>
  </si>
  <si>
    <t>Corresponding source regulation voltage</t>
  </si>
  <si>
    <t>- Increased the source regulation voltage range</t>
  </si>
  <si>
    <t>Storage Element Thresholds configuration through I²C communication</t>
  </si>
  <si>
    <t>SOURCE DATA REGISTER VALUE TO VOLTAGE CONVERSION
(Available for: AEM10900 and AEM10901)</t>
  </si>
  <si>
    <t>STORAGE ELEMENT DATA REGISTER VALUE TO VOLTAGE CONVERSION
(Available for: AEM00900, AEM00901, AEM10900 and AEM10901)</t>
  </si>
  <si>
    <t>SOURCE REGULATION VOLTAGE CONFIGURATION
(Available for: AEM00900 and AEM00901)</t>
  </si>
  <si>
    <t xml:space="preserve">Source Regulation Voltage 
Configuration through I²C communication </t>
  </si>
  <si>
    <t>- Added a block for the source regulation voltage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</si>
</sst>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1"/>
      <color rgb="FF142918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142918"/>
      <name val="Calibri"/>
      <family val="2"/>
      <scheme val="minor"/>
    </font>
    <font>
      <b/>
      <sz val="11"/>
      <color rgb="FF142918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DDAC2A"/>
      <name val="Calibri"/>
      <family val="2"/>
      <scheme val="minor"/>
    </font>
    <font>
      <b/>
      <vertAlign val="subscript"/>
      <sz val="11"/>
      <color rgb="FFDDAC2A"/>
      <name val="Calibri"/>
      <family val="2"/>
      <scheme val="minor"/>
    </font>
    <font>
      <sz val="11"/>
      <color rgb="FFDDAC2A"/>
      <name val="Calibri"/>
      <family val="2"/>
      <scheme val="minor"/>
    </font>
    <font>
      <vertAlign val="subscript"/>
      <sz val="11"/>
      <color rgb="FFDDAC2A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8B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Alignment="1">
      <alignment horizontal="center" vertical="center"/>
    </xf>
    <xf numFmtId="0" fontId="0" fillId="3" borderId="5" xfId="0" applyFill="1" applyBorder="1"/>
    <xf numFmtId="0" fontId="2" fillId="3" borderId="0" xfId="0" applyFont="1" applyFill="1"/>
    <xf numFmtId="0" fontId="1" fillId="2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 indent="1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2" fontId="0" fillId="4" borderId="6" xfId="0" applyNumberFormat="1" applyFill="1" applyBorder="1" applyAlignment="1">
      <alignment horizontal="right" vertical="center" indent="2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0" fillId="3" borderId="0" xfId="0" applyFill="1" applyAlignment="1">
      <alignment horizontal="right" vertical="center"/>
    </xf>
    <xf numFmtId="0" fontId="3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 vertical="center" indent="1"/>
    </xf>
    <xf numFmtId="0" fontId="0" fillId="3" borderId="0" xfId="0" applyFill="1" applyAlignment="1">
      <alignment horizontal="right" vertical="center" indent="2"/>
    </xf>
    <xf numFmtId="0" fontId="4" fillId="4" borderId="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/>
    <xf numFmtId="0" fontId="1" fillId="4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2" fontId="0" fillId="3" borderId="0" xfId="0" applyNumberFormat="1" applyFill="1" applyAlignment="1">
      <alignment horizontal="right" vertical="center" indent="2"/>
    </xf>
    <xf numFmtId="0" fontId="5" fillId="3" borderId="0" xfId="0" applyFont="1" applyFill="1" applyAlignment="1">
      <alignment horizontal="left" indent="1"/>
    </xf>
    <xf numFmtId="1" fontId="0" fillId="4" borderId="6" xfId="0" applyNumberForma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1" fontId="6" fillId="4" borderId="6" xfId="0" applyNumberFormat="1" applyFont="1" applyFill="1" applyBorder="1" applyAlignment="1">
      <alignment horizontal="center" vertical="center"/>
    </xf>
    <xf numFmtId="2" fontId="0" fillId="3" borderId="6" xfId="0" applyNumberFormat="1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 indent="1"/>
    </xf>
    <xf numFmtId="0" fontId="6" fillId="4" borderId="6" xfId="0" applyFont="1" applyFill="1" applyBorder="1" applyAlignment="1">
      <alignment horizontal="left" vertical="center" indent="1"/>
    </xf>
    <xf numFmtId="2" fontId="6" fillId="4" borderId="6" xfId="0" applyNumberFormat="1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horizontal="center"/>
    </xf>
    <xf numFmtId="0" fontId="4" fillId="3" borderId="19" xfId="0" applyFont="1" applyFill="1" applyBorder="1" applyAlignment="1">
      <alignment horizontal="left" vertical="center" indent="1"/>
    </xf>
    <xf numFmtId="2" fontId="6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indent="1"/>
    </xf>
    <xf numFmtId="0" fontId="5" fillId="3" borderId="20" xfId="0" applyFont="1" applyFill="1" applyBorder="1" applyAlignment="1">
      <alignment horizontal="left" indent="1"/>
    </xf>
    <xf numFmtId="2" fontId="1" fillId="4" borderId="6" xfId="0" applyNumberFormat="1" applyFon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4" fillId="4" borderId="6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left" indent="1"/>
    </xf>
    <xf numFmtId="0" fontId="0" fillId="3" borderId="22" xfId="0" applyFill="1" applyBorder="1" applyAlignment="1">
      <alignment horizontal="left" indent="1"/>
    </xf>
    <xf numFmtId="0" fontId="0" fillId="3" borderId="22" xfId="0" quotePrefix="1" applyFill="1" applyBorder="1" applyAlignment="1">
      <alignment horizontal="left" indent="1"/>
    </xf>
    <xf numFmtId="0" fontId="0" fillId="3" borderId="23" xfId="0" applyFill="1" applyBorder="1" applyAlignment="1">
      <alignment horizontal="left" indent="1"/>
    </xf>
    <xf numFmtId="0" fontId="0" fillId="3" borderId="22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5" fillId="5" borderId="6" xfId="0" applyFont="1" applyFill="1" applyBorder="1" applyAlignment="1">
      <alignment horizontal="left" indent="1"/>
    </xf>
    <xf numFmtId="1" fontId="0" fillId="4" borderId="14" xfId="0" applyNumberFormat="1" applyFill="1" applyBorder="1" applyAlignment="1">
      <alignment horizontal="center" vertical="center" wrapText="1"/>
    </xf>
    <xf numFmtId="1" fontId="0" fillId="4" borderId="16" xfId="0" applyNumberFormat="1" applyFill="1" applyBorder="1" applyAlignment="1">
      <alignment horizontal="center" vertical="center" wrapText="1"/>
    </xf>
    <xf numFmtId="1" fontId="0" fillId="4" borderId="15" xfId="0" applyNumberFormat="1" applyFill="1" applyBorder="1" applyAlignment="1">
      <alignment horizontal="center" vertical="center" wrapText="1"/>
    </xf>
    <xf numFmtId="1" fontId="0" fillId="4" borderId="17" xfId="0" applyNumberForma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 indent="1"/>
    </xf>
    <xf numFmtId="0" fontId="4" fillId="4" borderId="8" xfId="0" applyFont="1" applyFill="1" applyBorder="1" applyAlignment="1">
      <alignment horizontal="left" vertical="center" inden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indent="1"/>
    </xf>
    <xf numFmtId="0" fontId="4" fillId="4" borderId="9" xfId="0" applyFont="1" applyFill="1" applyBorder="1" applyAlignment="1">
      <alignment horizontal="left" vertical="center" indent="1"/>
    </xf>
    <xf numFmtId="2" fontId="0" fillId="4" borderId="7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indent="1"/>
    </xf>
    <xf numFmtId="0" fontId="1" fillId="2" borderId="6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left" vertical="center" indent="1"/>
    </xf>
    <xf numFmtId="0" fontId="5" fillId="5" borderId="17" xfId="0" applyFont="1" applyFill="1" applyBorder="1" applyAlignment="1">
      <alignment horizontal="left" vertical="center" indent="1"/>
    </xf>
    <xf numFmtId="0" fontId="4" fillId="4" borderId="14" xfId="0" applyFont="1" applyFill="1" applyBorder="1" applyAlignment="1">
      <alignment horizontal="left" vertical="center" indent="1"/>
    </xf>
    <xf numFmtId="0" fontId="4" fillId="4" borderId="15" xfId="0" applyFont="1" applyFill="1" applyBorder="1" applyAlignment="1">
      <alignment horizontal="left" vertical="center" indent="1"/>
    </xf>
    <xf numFmtId="0" fontId="5" fillId="5" borderId="6" xfId="0" applyFont="1" applyFill="1" applyBorder="1" applyAlignment="1">
      <alignment horizontal="left" wrapText="1" inden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indent="1"/>
    </xf>
    <xf numFmtId="0" fontId="1" fillId="2" borderId="9" xfId="0" applyFont="1" applyFill="1" applyBorder="1" applyAlignment="1">
      <alignment horizontal="left" indent="1"/>
    </xf>
    <xf numFmtId="0" fontId="3" fillId="3" borderId="4" xfId="0" applyFont="1" applyFill="1" applyBorder="1" applyAlignment="1">
      <alignment horizontal="center" vertical="center" wrapText="1"/>
    </xf>
    <xf numFmtId="49" fontId="6" fillId="4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 inden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indent="1"/>
    </xf>
    <xf numFmtId="0" fontId="1" fillId="2" borderId="9" xfId="0" applyFont="1" applyFill="1" applyBorder="1" applyAlignment="1">
      <alignment horizontal="left" indent="1"/>
    </xf>
    <xf numFmtId="0" fontId="4" fillId="4" borderId="2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3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>
      <alignment horizontal="left" vertical="center" indent="1"/>
    </xf>
    <xf numFmtId="0" fontId="0" fillId="3" borderId="0" xfId="0" applyFill="1" applyBorder="1" applyAlignment="1">
      <alignment horizontal="center" vertical="center"/>
    </xf>
    <xf numFmtId="49" fontId="0" fillId="3" borderId="0" xfId="0" applyNumberFormat="1" applyFill="1" applyBorder="1" applyAlignment="1">
      <alignment vertical="center"/>
    </xf>
    <xf numFmtId="0" fontId="1" fillId="2" borderId="7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4" borderId="14" xfId="0" applyFont="1" applyFill="1" applyBorder="1" applyAlignment="1">
      <alignment horizontal="left" vertical="center" indent="1"/>
    </xf>
    <xf numFmtId="0" fontId="1" fillId="4" borderId="15" xfId="0" applyFont="1" applyFill="1" applyBorder="1" applyAlignment="1">
      <alignment horizontal="left" vertical="center" indent="1"/>
    </xf>
    <xf numFmtId="0" fontId="5" fillId="5" borderId="7" xfId="0" applyFont="1" applyFill="1" applyBorder="1" applyAlignment="1">
      <alignment horizontal="left" vertical="center" indent="1"/>
    </xf>
    <xf numFmtId="0" fontId="5" fillId="5" borderId="9" xfId="0" applyFont="1" applyFill="1" applyBorder="1" applyAlignment="1">
      <alignment horizontal="left" vertical="center" indent="1"/>
    </xf>
    <xf numFmtId="1" fontId="9" fillId="4" borderId="6" xfId="0" applyNumberFormat="1" applyFont="1" applyFill="1" applyBorder="1" applyAlignment="1">
      <alignment horizontal="center" vertical="center"/>
    </xf>
    <xf numFmtId="0" fontId="0" fillId="3" borderId="18" xfId="0" applyFill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AC2A"/>
      <color rgb="FF68B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start.e-peas.com/products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26379</xdr:colOff>
      <xdr:row>2</xdr:row>
      <xdr:rowOff>28272</xdr:rowOff>
    </xdr:from>
    <xdr:to>
      <xdr:col>10</xdr:col>
      <xdr:colOff>3106571</xdr:colOff>
      <xdr:row>12</xdr:row>
      <xdr:rowOff>247796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F798C-65B6-4086-9E4C-065AB53B6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91" b="32596"/>
        <a:stretch/>
      </xdr:blipFill>
      <xdr:spPr>
        <a:xfrm>
          <a:off x="216879" y="218772"/>
          <a:ext cx="12268198" cy="2111189"/>
        </a:xfrm>
        <a:prstGeom prst="rect">
          <a:avLst/>
        </a:prstGeom>
      </xdr:spPr>
    </xdr:pic>
    <xdr:clientData/>
  </xdr:twoCellAnchor>
  <xdr:twoCellAnchor>
    <xdr:from>
      <xdr:col>7</xdr:col>
      <xdr:colOff>265043</xdr:colOff>
      <xdr:row>3</xdr:row>
      <xdr:rowOff>163038</xdr:rowOff>
    </xdr:from>
    <xdr:to>
      <xdr:col>10</xdr:col>
      <xdr:colOff>2982057</xdr:colOff>
      <xdr:row>11</xdr:row>
      <xdr:rowOff>80596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038E97-4995-4FE6-A87E-FB3FE7487A57}"/>
            </a:ext>
          </a:extLst>
        </xdr:cNvPr>
        <xdr:cNvSpPr txBox="1"/>
      </xdr:nvSpPr>
      <xdr:spPr>
        <a:xfrm>
          <a:off x="6178826" y="552321"/>
          <a:ext cx="6212274" cy="14415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BE" sz="1200"/>
            <a:t>This spreadsheet allows to define</a:t>
          </a:r>
          <a:r>
            <a:rPr lang="fr-BE" sz="1200" baseline="0"/>
            <a:t> or translate</a:t>
          </a:r>
          <a:r>
            <a:rPr lang="fr-BE" sz="1200"/>
            <a:t> the register</a:t>
          </a:r>
          <a:r>
            <a:rPr lang="fr-BE" sz="1200" baseline="0"/>
            <a:t> values for specific configurations of the AEM00900, AEM00901, AEM10900 and AEM10901, as defined in the datasheet for each feature.</a:t>
          </a:r>
        </a:p>
        <a:p>
          <a:endParaRPr lang="fr-BE" sz="1200" baseline="0"/>
        </a:p>
        <a:p>
          <a:r>
            <a:rPr lang="fr-BE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AEM datasheets </a:t>
          </a:r>
          <a:r>
            <a:rPr lang="fr-BE" sz="1200" baseline="0"/>
            <a:t>and </a:t>
          </a:r>
          <a:r>
            <a:rPr lang="fr-BE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 guides for the evaluation boards </a:t>
          </a:r>
          <a:r>
            <a:rPr lang="fr-BE" sz="1200" baseline="0"/>
            <a:t>can be found on the </a:t>
          </a:r>
          <a:r>
            <a:rPr lang="fr-BE" sz="1200" b="1" baseline="0">
              <a:solidFill>
                <a:schemeClr val="accent5">
                  <a:lumMod val="75000"/>
                </a:schemeClr>
              </a:solidFill>
            </a:rPr>
            <a:t>e-peas website</a:t>
          </a:r>
        </a:p>
        <a:p>
          <a:endParaRPr lang="fr-BE" sz="1200" baseline="0"/>
        </a:p>
        <a:p>
          <a:r>
            <a:rPr lang="fr-BE" sz="1200" baseline="0"/>
            <a:t>For additional support, contact </a:t>
          </a:r>
          <a:r>
            <a:rPr lang="fr-BE" sz="1200" b="1" baseline="0">
              <a:solidFill>
                <a:srgbClr val="68BF6A"/>
              </a:solidFill>
            </a:rPr>
            <a:t>support@e-peas.com</a:t>
          </a:r>
        </a:p>
      </xdr:txBody>
    </xdr:sp>
    <xdr:clientData/>
  </xdr:twoCellAnchor>
  <xdr:twoCellAnchor editAs="oneCell">
    <xdr:from>
      <xdr:col>2</xdr:col>
      <xdr:colOff>313767</xdr:colOff>
      <xdr:row>3</xdr:row>
      <xdr:rowOff>164193</xdr:rowOff>
    </xdr:from>
    <xdr:to>
      <xdr:col>5</xdr:col>
      <xdr:colOff>111984</xdr:colOff>
      <xdr:row>11</xdr:row>
      <xdr:rowOff>102664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B3FD8E-9399-4F1D-A4C5-96F24BCDD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550" y="553476"/>
          <a:ext cx="4138304" cy="145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7064-A4C8-425C-9434-68AD6D41E656}">
  <dimension ref="A1:CU91"/>
  <sheetViews>
    <sheetView tabSelected="1" zoomScaleNormal="100" workbookViewId="0">
      <selection activeCell="H24" sqref="H24"/>
    </sheetView>
  </sheetViews>
  <sheetFormatPr defaultColWidth="9.140625" defaultRowHeight="15" x14ac:dyDescent="0.25"/>
  <cols>
    <col min="1" max="2" width="1.42578125" style="1" customWidth="1"/>
    <col min="3" max="3" width="18.28515625" style="1" customWidth="1"/>
    <col min="4" max="4" width="11.85546875" style="1" customWidth="1"/>
    <col min="5" max="5" width="35" style="9" customWidth="1"/>
    <col min="6" max="7" width="10.28515625" style="9" customWidth="1"/>
    <col min="8" max="8" width="12" style="9" customWidth="1"/>
    <col min="9" max="9" width="12.85546875" style="9" customWidth="1"/>
    <col min="10" max="10" width="27.42578125" style="1" customWidth="1"/>
    <col min="11" max="11" width="48.5703125" style="1" customWidth="1"/>
    <col min="12" max="12" width="1.42578125" style="1" customWidth="1"/>
    <col min="13" max="16384" width="9.140625" style="1"/>
  </cols>
  <sheetData>
    <row r="1" spans="1:99" customFormat="1" ht="7.5" customHeight="1" thickBot="1" x14ac:dyDescent="0.3">
      <c r="A1" s="1"/>
      <c r="B1" s="1"/>
      <c r="C1" s="1"/>
      <c r="E1" s="2"/>
      <c r="F1" s="2"/>
      <c r="G1" s="2"/>
      <c r="H1" s="2"/>
      <c r="I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99" customFormat="1" ht="7.5" customHeight="1" x14ac:dyDescent="0.25">
      <c r="A2" s="1"/>
      <c r="B2" s="3"/>
      <c r="C2" s="4"/>
      <c r="D2" s="5"/>
      <c r="E2" s="6"/>
      <c r="F2" s="6"/>
      <c r="G2" s="6"/>
      <c r="H2" s="6"/>
      <c r="I2" s="6"/>
      <c r="J2" s="5"/>
      <c r="K2" s="5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99" customFormat="1" x14ac:dyDescent="0.25">
      <c r="A3" s="1"/>
      <c r="B3" s="8"/>
      <c r="C3" s="1"/>
      <c r="D3" s="1"/>
      <c r="E3" s="9"/>
      <c r="F3" s="9"/>
      <c r="G3" s="9"/>
      <c r="H3" s="9"/>
      <c r="I3" s="9"/>
      <c r="J3" s="1"/>
      <c r="K3" s="1"/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99" customFormat="1" x14ac:dyDescent="0.25">
      <c r="A4" s="1"/>
      <c r="B4" s="8"/>
      <c r="C4" s="1"/>
      <c r="D4" s="1"/>
      <c r="E4" s="9"/>
      <c r="F4" s="9"/>
      <c r="G4" s="9"/>
      <c r="H4" s="9"/>
      <c r="I4" s="9"/>
      <c r="J4" s="1"/>
      <c r="K4" s="1"/>
      <c r="L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99" customFormat="1" x14ac:dyDescent="0.25">
      <c r="A5" s="1"/>
      <c r="B5" s="8"/>
      <c r="C5" s="1"/>
      <c r="D5" s="1"/>
      <c r="E5" s="9"/>
      <c r="F5" s="9"/>
      <c r="G5" s="9"/>
      <c r="H5" s="9"/>
      <c r="I5" s="9"/>
      <c r="J5" s="1"/>
      <c r="K5" s="1"/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99" customFormat="1" x14ac:dyDescent="0.25">
      <c r="A6" s="1"/>
      <c r="B6" s="8"/>
      <c r="C6" s="1"/>
      <c r="D6" s="1"/>
      <c r="E6" s="9"/>
      <c r="F6" s="9"/>
      <c r="G6" s="9"/>
      <c r="H6" s="9"/>
      <c r="I6" s="9"/>
      <c r="J6" s="1"/>
      <c r="K6" s="1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99" customFormat="1" x14ac:dyDescent="0.25">
      <c r="A7" s="1"/>
      <c r="B7" s="8"/>
      <c r="C7" s="1"/>
      <c r="D7" s="1"/>
      <c r="E7" s="9"/>
      <c r="F7" s="9"/>
      <c r="G7" s="9"/>
      <c r="H7" s="9"/>
      <c r="I7" s="9"/>
      <c r="J7" s="1"/>
      <c r="K7" s="1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99" customFormat="1" x14ac:dyDescent="0.25">
      <c r="A8" s="1"/>
      <c r="B8" s="8"/>
      <c r="C8" s="1"/>
      <c r="D8" s="1"/>
      <c r="E8" s="9"/>
      <c r="F8" s="9"/>
      <c r="G8" s="9"/>
      <c r="H8" s="9"/>
      <c r="I8" s="9"/>
      <c r="J8" s="1"/>
      <c r="K8" s="1"/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99" customFormat="1" x14ac:dyDescent="0.25">
      <c r="A9" s="1"/>
      <c r="B9" s="8"/>
      <c r="C9" s="1"/>
      <c r="D9" s="1"/>
      <c r="E9" s="9"/>
      <c r="F9" s="9"/>
      <c r="G9" s="9"/>
      <c r="H9" s="9"/>
      <c r="I9" s="9"/>
      <c r="J9" s="1"/>
      <c r="K9" s="1"/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99" customFormat="1" x14ac:dyDescent="0.25">
      <c r="A10" s="1"/>
      <c r="B10" s="8"/>
      <c r="C10" s="1"/>
      <c r="D10" s="1"/>
      <c r="E10" s="9"/>
      <c r="F10" s="9"/>
      <c r="G10" s="9"/>
      <c r="H10" s="9"/>
      <c r="I10" s="9"/>
      <c r="J10" s="1"/>
      <c r="K10" s="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99" customFormat="1" x14ac:dyDescent="0.25">
      <c r="A11" s="1"/>
      <c r="B11" s="8"/>
      <c r="C11" s="1"/>
      <c r="D11" s="1"/>
      <c r="E11" s="9"/>
      <c r="F11" s="9"/>
      <c r="G11" s="9"/>
      <c r="H11" s="9"/>
      <c r="I11" s="9"/>
      <c r="J11" s="1"/>
      <c r="K11" s="1"/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99" customFormat="1" x14ac:dyDescent="0.25">
      <c r="A12" s="1"/>
      <c r="B12" s="8"/>
      <c r="C12" s="1"/>
      <c r="D12" s="1"/>
      <c r="E12" s="9"/>
      <c r="F12" s="9"/>
      <c r="G12" s="9"/>
      <c r="H12" s="9"/>
      <c r="I12" s="9"/>
      <c r="J12" s="1"/>
      <c r="K12" s="1"/>
      <c r="L12" s="1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99" customFormat="1" ht="26.25" customHeight="1" x14ac:dyDescent="0.25">
      <c r="A13" s="1"/>
      <c r="B13" s="8"/>
      <c r="C13" s="1"/>
      <c r="D13" s="1"/>
      <c r="E13" s="9"/>
      <c r="F13" s="9"/>
      <c r="G13" s="9"/>
      <c r="H13" s="9"/>
      <c r="I13" s="9"/>
      <c r="J13" s="1"/>
      <c r="K13" s="1"/>
      <c r="L13" s="1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99" customFormat="1" ht="15.75" x14ac:dyDescent="0.25">
      <c r="A14" s="1"/>
      <c r="B14" s="8"/>
      <c r="C14" s="11" t="s">
        <v>0</v>
      </c>
      <c r="D14" s="1"/>
      <c r="E14" s="9"/>
      <c r="F14" s="9"/>
      <c r="G14" s="9"/>
      <c r="H14" s="9"/>
      <c r="I14" s="9"/>
      <c r="J14" s="1"/>
      <c r="K14" s="1"/>
      <c r="L14" s="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99" customFormat="1" ht="8.25" customHeight="1" x14ac:dyDescent="0.25">
      <c r="A15" s="1"/>
      <c r="B15" s="8"/>
      <c r="C15" s="1"/>
      <c r="D15" s="1"/>
      <c r="E15" s="9"/>
      <c r="F15" s="9"/>
      <c r="G15" s="9"/>
      <c r="H15" s="9"/>
      <c r="I15" s="9"/>
      <c r="J15" s="1"/>
      <c r="K15" s="1"/>
      <c r="L15" s="1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99" customFormat="1" ht="30" customHeight="1" x14ac:dyDescent="0.25">
      <c r="A16" s="1"/>
      <c r="B16" s="8"/>
      <c r="C16" s="124" t="s">
        <v>100</v>
      </c>
      <c r="D16" s="125"/>
      <c r="E16" s="125"/>
      <c r="F16" s="125"/>
      <c r="G16" s="125"/>
      <c r="H16" s="125"/>
      <c r="I16" s="125"/>
      <c r="J16" s="125"/>
      <c r="K16" s="126"/>
      <c r="L16" s="1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customFormat="1" x14ac:dyDescent="0.25">
      <c r="A17" s="1"/>
      <c r="B17" s="8"/>
      <c r="C17" s="116"/>
      <c r="D17" s="116"/>
      <c r="E17" s="122"/>
      <c r="F17" s="122"/>
      <c r="G17" s="122"/>
      <c r="H17" s="122"/>
      <c r="I17" s="116"/>
      <c r="J17" s="116"/>
      <c r="K17" s="116"/>
      <c r="L17" s="1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customFormat="1" x14ac:dyDescent="0.25">
      <c r="A18" s="1"/>
      <c r="B18" s="8"/>
      <c r="C18" s="116"/>
      <c r="D18" s="116"/>
      <c r="E18" s="102" t="s">
        <v>9</v>
      </c>
      <c r="F18" s="103"/>
      <c r="G18" s="12" t="s">
        <v>10</v>
      </c>
      <c r="H18" s="12" t="s">
        <v>11</v>
      </c>
      <c r="I18" s="12" t="s">
        <v>12</v>
      </c>
      <c r="J18" s="112" t="s">
        <v>13</v>
      </c>
      <c r="K18" s="113"/>
      <c r="L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customFormat="1" ht="30" x14ac:dyDescent="0.25">
      <c r="A19" s="1"/>
      <c r="B19" s="104"/>
      <c r="C19" s="91" t="s">
        <v>101</v>
      </c>
      <c r="D19" s="35" t="s">
        <v>57</v>
      </c>
      <c r="E19" s="99" t="s">
        <v>88</v>
      </c>
      <c r="F19" s="121"/>
      <c r="G19" s="120">
        <v>0.75</v>
      </c>
      <c r="H19" s="105" t="s">
        <v>84</v>
      </c>
      <c r="I19" s="105" t="s">
        <v>90</v>
      </c>
      <c r="J19" s="129" t="s">
        <v>89</v>
      </c>
      <c r="K19" s="130"/>
      <c r="L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customFormat="1" ht="15" customHeight="1" x14ac:dyDescent="0.25">
      <c r="A20" s="1"/>
      <c r="B20" s="104"/>
      <c r="C20" s="91"/>
      <c r="D20" s="107"/>
      <c r="E20" s="107"/>
      <c r="F20" s="107"/>
      <c r="G20" s="108"/>
      <c r="H20" s="108"/>
      <c r="I20" s="116"/>
      <c r="J20" s="116"/>
      <c r="K20" s="116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customFormat="1" x14ac:dyDescent="0.25">
      <c r="A21" s="1"/>
      <c r="B21" s="104"/>
      <c r="C21" s="91"/>
      <c r="D21" s="109" t="s">
        <v>1</v>
      </c>
      <c r="E21" s="127" t="s">
        <v>91</v>
      </c>
      <c r="F21" s="49" t="s">
        <v>32</v>
      </c>
      <c r="G21" s="110" t="str">
        <f>"0x"&amp;DEC2HEX(G22, 2)</f>
        <v>0x43</v>
      </c>
      <c r="H21" s="131" t="s">
        <v>94</v>
      </c>
      <c r="I21" s="41" t="s">
        <v>87</v>
      </c>
      <c r="J21" s="129" t="s">
        <v>92</v>
      </c>
      <c r="K21" s="130"/>
      <c r="L21" s="1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customFormat="1" x14ac:dyDescent="0.25">
      <c r="A22" s="1"/>
      <c r="B22" s="104"/>
      <c r="C22" s="91"/>
      <c r="D22" s="114"/>
      <c r="E22" s="128"/>
      <c r="F22" s="49" t="s">
        <v>33</v>
      </c>
      <c r="G22" s="110">
        <f>ROUND(IF(G19&lt;=0.119, 12, IF(G19&lt;=0.301, ((2*G19-0.3)/0.015)+17, IF(G19&lt;=1.473, ((G19-0.3)/0.015)+37, IF(G19&lt;=2.205, ((0.67*G19-0.3)/0.015)+70, IF(G19&lt;=2.727, ((0.33*G19-0.3)/0.015)+120, 160))))), 0)</f>
        <v>67</v>
      </c>
      <c r="H22" s="131">
        <v>12</v>
      </c>
      <c r="I22" s="41">
        <v>160</v>
      </c>
      <c r="J22" s="96" t="s">
        <v>93</v>
      </c>
      <c r="K22" s="97"/>
      <c r="L22" s="1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customFormat="1" ht="18" x14ac:dyDescent="0.25">
      <c r="A23" s="1"/>
      <c r="B23" s="104"/>
      <c r="C23" s="91"/>
      <c r="D23" s="111"/>
      <c r="E23" s="99" t="s">
        <v>88</v>
      </c>
      <c r="F23" s="121"/>
      <c r="G23" s="57">
        <f>IF(G22&lt;=12, 0.112, IF(G22&lt;38, 0.0075*(G22-3)+0.045, IF(G22&lt;116, 0.015*(G22-37)+0.3, IF(G22&lt;149, ((G22-70)*0.015+0.3)/0.67, ((G22-120)*0.015+0.3)/0.33))))</f>
        <v>0.75</v>
      </c>
      <c r="H23" s="105" t="s">
        <v>84</v>
      </c>
      <c r="I23" s="105" t="s">
        <v>90</v>
      </c>
      <c r="J23" s="106" t="s">
        <v>95</v>
      </c>
      <c r="K23" s="106"/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customFormat="1" ht="15.75" x14ac:dyDescent="0.25">
      <c r="A24" s="1"/>
      <c r="B24" s="115"/>
      <c r="C24" s="117"/>
      <c r="D24" s="118"/>
      <c r="E24" s="118"/>
      <c r="F24" s="118"/>
      <c r="G24" s="119"/>
      <c r="H24" s="123"/>
      <c r="I24" s="116"/>
      <c r="J24" s="116"/>
      <c r="K24" s="116"/>
      <c r="L24" s="1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customFormat="1" x14ac:dyDescent="0.25">
      <c r="A25" s="1"/>
      <c r="B25" s="8"/>
      <c r="C25" s="1"/>
      <c r="D25" s="1"/>
      <c r="E25" s="23"/>
      <c r="F25" s="23"/>
      <c r="G25" s="9"/>
      <c r="H25" s="9"/>
      <c r="I25" s="9"/>
      <c r="J25" s="1"/>
      <c r="K25" s="1"/>
      <c r="L25" s="1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99" customFormat="1" ht="30" customHeight="1" x14ac:dyDescent="0.25">
      <c r="A26" s="1"/>
      <c r="B26" s="8"/>
      <c r="C26" s="93" t="s">
        <v>98</v>
      </c>
      <c r="D26" s="93"/>
      <c r="E26" s="93"/>
      <c r="F26" s="93"/>
      <c r="G26" s="93"/>
      <c r="H26" s="93"/>
      <c r="I26" s="93"/>
      <c r="J26" s="93"/>
      <c r="K26" s="93"/>
      <c r="L26" s="1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99" customFormat="1" x14ac:dyDescent="0.25">
      <c r="A27" s="1"/>
      <c r="B27" s="8"/>
      <c r="C27" s="1"/>
      <c r="D27" s="1"/>
      <c r="E27" s="9"/>
      <c r="F27" s="9"/>
      <c r="G27" s="9"/>
      <c r="H27" s="9"/>
      <c r="I27" s="9"/>
      <c r="J27" s="1"/>
      <c r="K27" s="1"/>
      <c r="L27" s="1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99" customFormat="1" x14ac:dyDescent="0.25">
      <c r="A28" s="1"/>
      <c r="B28" s="8"/>
      <c r="C28" s="1"/>
      <c r="E28" s="102" t="s">
        <v>9</v>
      </c>
      <c r="F28" s="103"/>
      <c r="G28" s="12" t="s">
        <v>10</v>
      </c>
      <c r="H28" s="12" t="s">
        <v>11</v>
      </c>
      <c r="I28" s="12" t="s">
        <v>12</v>
      </c>
      <c r="J28" s="92" t="s">
        <v>13</v>
      </c>
      <c r="K28" s="92"/>
      <c r="L28" s="1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99" customFormat="1" x14ac:dyDescent="0.25">
      <c r="A29" s="1"/>
      <c r="B29" s="8"/>
      <c r="C29" s="91" t="s">
        <v>2</v>
      </c>
      <c r="D29" s="79" t="s">
        <v>51</v>
      </c>
      <c r="E29" s="82" t="s">
        <v>35</v>
      </c>
      <c r="F29" s="49" t="s">
        <v>32</v>
      </c>
      <c r="G29" s="43" t="s">
        <v>86</v>
      </c>
      <c r="H29" s="41" t="s">
        <v>20</v>
      </c>
      <c r="I29" s="41" t="s">
        <v>63</v>
      </c>
      <c r="J29" s="74" t="s">
        <v>62</v>
      </c>
      <c r="K29" s="74"/>
      <c r="L29" s="1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99" customFormat="1" x14ac:dyDescent="0.25">
      <c r="A30" s="1"/>
      <c r="B30" s="8"/>
      <c r="C30" s="91"/>
      <c r="D30" s="80"/>
      <c r="E30" s="83"/>
      <c r="F30" s="49" t="s">
        <v>33</v>
      </c>
      <c r="G30" s="44">
        <f>HEX2DEC(RIGHT(G29,2))</f>
        <v>32</v>
      </c>
      <c r="H30" s="41">
        <v>0</v>
      </c>
      <c r="I30" s="41">
        <v>166</v>
      </c>
      <c r="J30" s="74" t="s">
        <v>64</v>
      </c>
      <c r="K30" s="74"/>
      <c r="L30" s="1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99" customFormat="1" ht="15" customHeight="1" x14ac:dyDescent="0.25">
      <c r="A31" s="1"/>
      <c r="B31" s="8"/>
      <c r="C31" s="91"/>
      <c r="D31" s="1"/>
      <c r="E31" s="9"/>
      <c r="F31" s="9"/>
      <c r="G31" s="9"/>
      <c r="H31" s="9"/>
      <c r="I31" s="9"/>
      <c r="J31" s="1"/>
      <c r="K31" s="1"/>
      <c r="L31" s="1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99" customFormat="1" ht="15" customHeight="1" x14ac:dyDescent="0.25">
      <c r="A32" s="1"/>
      <c r="B32" s="8"/>
      <c r="C32" s="91"/>
      <c r="D32" s="29" t="s">
        <v>1</v>
      </c>
      <c r="E32" s="87" t="s">
        <v>7</v>
      </c>
      <c r="F32" s="88"/>
      <c r="G32" s="57">
        <f>IF(G30&lt;=6, 0.112, IF(AND(G30&gt;=7, G30&lt;=18), 0.09+(2*G30-9)*0.0075, IF(AND(G30&gt;=19, G30&lt;=57), 0.3+(2*G30-37)*0.015, IF(AND(G30&gt;=104, G30&lt;=121), (0.3+(2*G30-165)*0.015)/0.67, IF(AND(G30&gt;=159, G30&lt;=166), (0.3+(2*G30-293)*0.015)/0.33, "error")))))</f>
        <v>0.70499999999999996</v>
      </c>
      <c r="H32" s="42" t="s">
        <v>84</v>
      </c>
      <c r="I32" s="42" t="s">
        <v>85</v>
      </c>
      <c r="J32" s="74" t="s">
        <v>23</v>
      </c>
      <c r="K32" s="74"/>
      <c r="L32" s="1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customFormat="1" ht="15" customHeight="1" x14ac:dyDescent="0.25">
      <c r="A33" s="1"/>
      <c r="B33" s="8"/>
      <c r="C33" s="1"/>
      <c r="D33" s="1"/>
      <c r="E33" s="9"/>
      <c r="F33" s="9"/>
      <c r="G33" s="9"/>
      <c r="H33" s="9"/>
      <c r="I33" s="9"/>
      <c r="J33" s="1"/>
      <c r="K33" s="1"/>
      <c r="L33" s="1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customFormat="1" ht="15" customHeight="1" x14ac:dyDescent="0.25">
      <c r="A34" s="1"/>
      <c r="B34" s="8"/>
      <c r="C34" s="1"/>
      <c r="D34" s="1"/>
      <c r="E34" s="9"/>
      <c r="F34" s="9"/>
      <c r="G34" s="9"/>
      <c r="H34" s="9"/>
      <c r="I34" s="9"/>
      <c r="J34" s="1"/>
      <c r="K34" s="1"/>
      <c r="L34" s="1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customFormat="1" ht="30" customHeight="1" x14ac:dyDescent="0.25">
      <c r="A35" s="1"/>
      <c r="B35" s="8"/>
      <c r="C35" s="93" t="s">
        <v>80</v>
      </c>
      <c r="D35" s="93"/>
      <c r="E35" s="93"/>
      <c r="F35" s="93"/>
      <c r="G35" s="93"/>
      <c r="H35" s="93"/>
      <c r="I35" s="93"/>
      <c r="J35" s="93"/>
      <c r="K35" s="93"/>
      <c r="L35" s="1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customFormat="1" ht="15" customHeight="1" x14ac:dyDescent="0.25">
      <c r="A36" s="1"/>
      <c r="B36" s="8"/>
      <c r="C36" s="1"/>
      <c r="D36" s="1"/>
      <c r="E36" s="1"/>
      <c r="F36" s="1"/>
      <c r="G36" s="1"/>
      <c r="H36" s="1"/>
      <c r="I36" s="1"/>
      <c r="J36" s="1"/>
      <c r="L36" s="1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customFormat="1" ht="15" customHeight="1" x14ac:dyDescent="0.25">
      <c r="A37" s="1"/>
      <c r="B37" s="8"/>
      <c r="C37" s="1"/>
      <c r="D37" s="1"/>
      <c r="E37" s="102" t="s">
        <v>9</v>
      </c>
      <c r="F37" s="103"/>
      <c r="G37" s="12" t="s">
        <v>10</v>
      </c>
      <c r="H37" s="12" t="s">
        <v>11</v>
      </c>
      <c r="I37" s="12" t="s">
        <v>12</v>
      </c>
      <c r="J37" s="92" t="s">
        <v>13</v>
      </c>
      <c r="K37" s="92"/>
      <c r="L37" s="1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customFormat="1" ht="18" x14ac:dyDescent="0.35">
      <c r="A38" s="1"/>
      <c r="B38" s="8"/>
      <c r="C38" s="91" t="s">
        <v>97</v>
      </c>
      <c r="D38" s="95" t="s">
        <v>52</v>
      </c>
      <c r="E38" s="87" t="s">
        <v>42</v>
      </c>
      <c r="F38" s="88"/>
      <c r="G38" s="45">
        <v>2.6</v>
      </c>
      <c r="H38" s="50" t="s">
        <v>53</v>
      </c>
      <c r="I38" s="50" t="s">
        <v>16</v>
      </c>
      <c r="J38" s="74" t="s">
        <v>55</v>
      </c>
      <c r="K38" s="74"/>
      <c r="L38" s="1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customFormat="1" ht="18" x14ac:dyDescent="0.35">
      <c r="A39" s="1"/>
      <c r="B39" s="8"/>
      <c r="C39" s="91"/>
      <c r="D39" s="81"/>
      <c r="E39" s="87" t="s">
        <v>43</v>
      </c>
      <c r="F39" s="88"/>
      <c r="G39" s="45">
        <v>3.8</v>
      </c>
      <c r="H39" s="50" t="s">
        <v>54</v>
      </c>
      <c r="I39" s="50" t="s">
        <v>17</v>
      </c>
      <c r="J39" s="74" t="s">
        <v>56</v>
      </c>
      <c r="K39" s="74"/>
      <c r="L39" s="1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customFormat="1" ht="15" customHeight="1" x14ac:dyDescent="0.25">
      <c r="A40" s="1"/>
      <c r="B40" s="8"/>
      <c r="C40" s="91"/>
      <c r="D40" s="15"/>
      <c r="E40" s="16"/>
      <c r="F40" s="16"/>
      <c r="G40" s="15"/>
      <c r="H40" s="51"/>
      <c r="I40" s="51"/>
      <c r="J40" s="15"/>
      <c r="K40" s="1"/>
      <c r="L40" s="1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customFormat="1" ht="16.5" customHeight="1" x14ac:dyDescent="0.25">
      <c r="A41" s="1"/>
      <c r="B41" s="8"/>
      <c r="C41" s="91"/>
      <c r="D41" s="94" t="s">
        <v>1</v>
      </c>
      <c r="E41" s="82" t="s">
        <v>46</v>
      </c>
      <c r="F41" s="49" t="s">
        <v>32</v>
      </c>
      <c r="G41" s="60" t="str">
        <f>"0x"&amp;DEC2HEX(G42)</f>
        <v>0x25</v>
      </c>
      <c r="H41" s="50" t="s">
        <v>59</v>
      </c>
      <c r="I41" s="50" t="s">
        <v>18</v>
      </c>
      <c r="J41" s="129" t="s">
        <v>14</v>
      </c>
      <c r="K41" s="130"/>
      <c r="L41" s="10"/>
      <c r="M41" s="1"/>
      <c r="N41" s="17"/>
      <c r="O41" s="18"/>
      <c r="P41" s="19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customFormat="1" ht="16.5" customHeight="1" x14ac:dyDescent="0.25">
      <c r="A42" s="1"/>
      <c r="B42" s="8"/>
      <c r="C42" s="91"/>
      <c r="D42" s="94"/>
      <c r="E42" s="83"/>
      <c r="F42" s="49" t="s">
        <v>33</v>
      </c>
      <c r="G42" s="58">
        <f>IF(G38&lt;2.53,35,ROUND((G38-0.50625)/0.05625, 0))</f>
        <v>37</v>
      </c>
      <c r="H42" s="41">
        <v>35</v>
      </c>
      <c r="I42" s="41">
        <v>63</v>
      </c>
      <c r="J42" s="96" t="s">
        <v>93</v>
      </c>
      <c r="K42" s="97"/>
      <c r="L42" s="10"/>
      <c r="M42" s="1"/>
      <c r="N42" s="17"/>
      <c r="O42" s="18"/>
      <c r="P42" s="19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customFormat="1" ht="18" x14ac:dyDescent="0.25">
      <c r="A43" s="1"/>
      <c r="B43" s="8"/>
      <c r="C43" s="91"/>
      <c r="D43" s="94"/>
      <c r="E43" s="87" t="s">
        <v>42</v>
      </c>
      <c r="F43" s="88"/>
      <c r="G43" s="56">
        <f>IF(G42=35,2.51,0.05625*ROUND((G38-0.50625)/0.05625,0)+0.50625)</f>
        <v>2.5875000000000004</v>
      </c>
      <c r="H43" s="50" t="s">
        <v>53</v>
      </c>
      <c r="I43" s="50" t="s">
        <v>16</v>
      </c>
      <c r="J43" s="106" t="s">
        <v>40</v>
      </c>
      <c r="K43" s="106"/>
      <c r="L43" s="10"/>
      <c r="M43" s="1"/>
      <c r="N43" s="17"/>
      <c r="O43" s="18"/>
      <c r="P43" s="1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customFormat="1" ht="4.5" customHeight="1" x14ac:dyDescent="0.25">
      <c r="A44" s="1"/>
      <c r="B44" s="8"/>
      <c r="C44" s="91"/>
      <c r="D44" s="94"/>
      <c r="E44" s="48"/>
      <c r="F44" s="52"/>
      <c r="G44" s="61"/>
      <c r="H44" s="53"/>
      <c r="I44" s="53"/>
      <c r="J44" s="54"/>
      <c r="K44" s="55"/>
      <c r="L44" s="10"/>
      <c r="M44" s="1"/>
      <c r="N44" s="17"/>
      <c r="O44" s="18"/>
      <c r="P44" s="19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customFormat="1" ht="16.5" customHeight="1" x14ac:dyDescent="0.25">
      <c r="A45" s="1"/>
      <c r="B45" s="8"/>
      <c r="C45" s="91"/>
      <c r="D45" s="94"/>
      <c r="E45" s="98" t="s">
        <v>47</v>
      </c>
      <c r="F45" s="49" t="s">
        <v>32</v>
      </c>
      <c r="G45" s="60" t="str">
        <f>"0x"&amp;DEC2HEX(G46, 2)</f>
        <v>0x2E</v>
      </c>
      <c r="H45" s="50" t="s">
        <v>60</v>
      </c>
      <c r="I45" s="50" t="s">
        <v>18</v>
      </c>
      <c r="J45" s="129" t="s">
        <v>15</v>
      </c>
      <c r="K45" s="130"/>
      <c r="L45" s="10"/>
      <c r="M45" s="1"/>
      <c r="N45" s="17"/>
      <c r="O45" s="18"/>
      <c r="P45" s="1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customFormat="1" ht="15" customHeight="1" x14ac:dyDescent="0.25">
      <c r="A46" s="1"/>
      <c r="B46" s="8"/>
      <c r="C46" s="91"/>
      <c r="D46" s="94"/>
      <c r="E46" s="99"/>
      <c r="F46" s="49" t="s">
        <v>33</v>
      </c>
      <c r="G46" s="58">
        <f>ROUND((G39-1.2375)/0.05625, 0)</f>
        <v>46</v>
      </c>
      <c r="H46" s="41">
        <v>26</v>
      </c>
      <c r="I46" s="41">
        <v>63</v>
      </c>
      <c r="J46" s="96" t="s">
        <v>93</v>
      </c>
      <c r="K46" s="97"/>
      <c r="L46" s="10"/>
      <c r="M46" s="1"/>
      <c r="N46" s="21"/>
      <c r="O46" s="2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customFormat="1" ht="18" x14ac:dyDescent="0.25">
      <c r="A47" s="1"/>
      <c r="B47" s="8"/>
      <c r="C47" s="91"/>
      <c r="D47" s="94"/>
      <c r="E47" s="87" t="s">
        <v>43</v>
      </c>
      <c r="F47" s="88"/>
      <c r="G47" s="56">
        <f>0.05625*ROUND((G39-1.2375)/0.05625, 0)+1.2375</f>
        <v>3.8250000000000002</v>
      </c>
      <c r="H47" s="50" t="s">
        <v>54</v>
      </c>
      <c r="I47" s="50" t="s">
        <v>17</v>
      </c>
      <c r="J47" s="106" t="s">
        <v>41</v>
      </c>
      <c r="K47" s="106"/>
      <c r="L47" s="10"/>
      <c r="M47" s="1"/>
      <c r="N47" s="21"/>
      <c r="O47" s="2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customFormat="1" x14ac:dyDescent="0.25">
      <c r="A48" s="1"/>
      <c r="B48" s="8"/>
      <c r="C48" s="1"/>
      <c r="D48" s="1"/>
      <c r="E48" s="23"/>
      <c r="F48" s="23"/>
      <c r="G48" s="9"/>
      <c r="H48" s="9"/>
      <c r="I48" s="9"/>
      <c r="J48" s="1"/>
      <c r="K48" s="1"/>
      <c r="L48" s="1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99" customFormat="1" x14ac:dyDescent="0.25">
      <c r="A49" s="1"/>
      <c r="B49" s="8"/>
      <c r="C49" s="116"/>
      <c r="D49" s="116"/>
      <c r="E49" s="122"/>
      <c r="F49" s="122"/>
      <c r="G49" s="122"/>
      <c r="H49" s="122"/>
      <c r="I49" s="116"/>
      <c r="J49" s="116"/>
      <c r="K49" s="116"/>
      <c r="L49" s="1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customFormat="1" ht="30" customHeight="1" x14ac:dyDescent="0.25">
      <c r="A50" s="1"/>
      <c r="B50" s="8"/>
      <c r="C50" s="93" t="s">
        <v>99</v>
      </c>
      <c r="D50" s="93"/>
      <c r="E50" s="93"/>
      <c r="F50" s="93"/>
      <c r="G50" s="93"/>
      <c r="H50" s="93"/>
      <c r="I50" s="93"/>
      <c r="J50" s="93"/>
      <c r="K50" s="93"/>
      <c r="L50" s="1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99" ht="15" customHeight="1" x14ac:dyDescent="0.25">
      <c r="B51" s="8"/>
      <c r="C51" s="24"/>
      <c r="D51" s="25"/>
      <c r="E51" s="26"/>
      <c r="F51" s="26"/>
      <c r="G51" s="26"/>
      <c r="H51" s="26"/>
      <c r="I51" s="26"/>
      <c r="J51" s="26"/>
      <c r="L51" s="10"/>
    </row>
    <row r="52" spans="1:99" customFormat="1" ht="15" customHeight="1" x14ac:dyDescent="0.25">
      <c r="A52" s="1"/>
      <c r="B52" s="8"/>
      <c r="C52" s="24"/>
      <c r="D52" s="1"/>
      <c r="E52" s="102" t="s">
        <v>9</v>
      </c>
      <c r="F52" s="103"/>
      <c r="G52" s="12" t="s">
        <v>10</v>
      </c>
      <c r="H52" s="12" t="s">
        <v>11</v>
      </c>
      <c r="I52" s="12" t="s">
        <v>12</v>
      </c>
      <c r="J52" s="92" t="s">
        <v>13</v>
      </c>
      <c r="K52" s="92"/>
      <c r="L52" s="1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99" customFormat="1" ht="15" customHeight="1" x14ac:dyDescent="0.25">
      <c r="A53" s="1"/>
      <c r="B53" s="8"/>
      <c r="C53" s="91" t="s">
        <v>67</v>
      </c>
      <c r="D53" s="79" t="s">
        <v>51</v>
      </c>
      <c r="E53" s="82" t="s">
        <v>34</v>
      </c>
      <c r="F53" s="49" t="s">
        <v>32</v>
      </c>
      <c r="G53" s="43" t="s">
        <v>87</v>
      </c>
      <c r="H53" s="41" t="s">
        <v>20</v>
      </c>
      <c r="I53" s="41" t="s">
        <v>21</v>
      </c>
      <c r="J53" s="74" t="s">
        <v>61</v>
      </c>
      <c r="K53" s="74"/>
      <c r="L53" s="1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99" customFormat="1" ht="15" customHeight="1" x14ac:dyDescent="0.25">
      <c r="A54" s="1"/>
      <c r="B54" s="8"/>
      <c r="C54" s="91"/>
      <c r="D54" s="80"/>
      <c r="E54" s="83"/>
      <c r="F54" s="49" t="s">
        <v>33</v>
      </c>
      <c r="G54" s="44">
        <f>HEX2DEC(RIGHT(G53,2))</f>
        <v>160</v>
      </c>
      <c r="H54" s="41">
        <v>0</v>
      </c>
      <c r="I54" s="41">
        <v>255</v>
      </c>
      <c r="J54" s="74" t="s">
        <v>64</v>
      </c>
      <c r="K54" s="74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99" customFormat="1" ht="15" customHeight="1" x14ac:dyDescent="0.25">
      <c r="A55" s="1"/>
      <c r="B55" s="8"/>
      <c r="C55" s="91"/>
      <c r="D55" s="1"/>
      <c r="E55" s="9"/>
      <c r="F55" s="9"/>
      <c r="G55" s="27"/>
      <c r="H55" s="28"/>
      <c r="I55" s="28"/>
      <c r="J55" s="1"/>
      <c r="K55" s="1"/>
      <c r="L55" s="1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99" customFormat="1" ht="15" customHeight="1" x14ac:dyDescent="0.25">
      <c r="A56" s="1"/>
      <c r="B56" s="8"/>
      <c r="C56" s="91"/>
      <c r="D56" s="29" t="s">
        <v>1</v>
      </c>
      <c r="E56" s="87" t="s">
        <v>8</v>
      </c>
      <c r="F56" s="88"/>
      <c r="G56" s="56">
        <f>4.8*G54/256</f>
        <v>3</v>
      </c>
      <c r="H56" s="42" t="s">
        <v>19</v>
      </c>
      <c r="I56" s="42" t="s">
        <v>17</v>
      </c>
      <c r="J56" s="74" t="s">
        <v>22</v>
      </c>
      <c r="K56" s="74"/>
      <c r="L56" s="1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99" customFormat="1" ht="15" customHeight="1" x14ac:dyDescent="0.25">
      <c r="A57" s="1"/>
      <c r="B57" s="8"/>
      <c r="C57" s="36"/>
      <c r="D57" s="37"/>
      <c r="E57" s="38"/>
      <c r="F57" s="38"/>
      <c r="G57" s="39"/>
      <c r="H57" s="39"/>
      <c r="I57" s="39"/>
      <c r="J57" s="40"/>
      <c r="K57" s="40"/>
      <c r="L57" s="1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99" customFormat="1" ht="15" customHeight="1" x14ac:dyDescent="0.25">
      <c r="A58" s="1"/>
      <c r="B58" s="8"/>
      <c r="C58" s="36"/>
      <c r="D58" s="19"/>
      <c r="E58" s="38"/>
      <c r="F58" s="38"/>
      <c r="G58" s="39"/>
      <c r="H58" s="39"/>
      <c r="I58" s="39"/>
      <c r="J58" s="40"/>
      <c r="K58" s="40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99" customFormat="1" ht="30" customHeight="1" x14ac:dyDescent="0.25">
      <c r="A59" s="1"/>
      <c r="B59" s="8"/>
      <c r="C59" s="93" t="s">
        <v>81</v>
      </c>
      <c r="D59" s="101"/>
      <c r="E59" s="101"/>
      <c r="F59" s="101"/>
      <c r="G59" s="101"/>
      <c r="H59" s="101"/>
      <c r="I59" s="101"/>
      <c r="J59" s="101"/>
      <c r="K59" s="101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99" customFormat="1" x14ac:dyDescent="0.25">
      <c r="A60" s="1"/>
      <c r="B60" s="8"/>
      <c r="C60" s="1"/>
      <c r="D60" s="1"/>
      <c r="E60" s="9"/>
      <c r="F60" s="9"/>
      <c r="G60" s="9"/>
      <c r="H60" s="9"/>
      <c r="I60" s="9"/>
      <c r="J60" s="1"/>
      <c r="K60" s="1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99" customFormat="1" x14ac:dyDescent="0.25">
      <c r="A61" s="1"/>
      <c r="B61" s="8"/>
      <c r="C61" s="1"/>
      <c r="E61" s="102" t="s">
        <v>9</v>
      </c>
      <c r="F61" s="103"/>
      <c r="G61" s="12" t="s">
        <v>10</v>
      </c>
      <c r="H61" s="12" t="s">
        <v>11</v>
      </c>
      <c r="I61" s="12" t="s">
        <v>12</v>
      </c>
      <c r="J61" s="92" t="s">
        <v>13</v>
      </c>
      <c r="K61" s="92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99" customFormat="1" ht="15" customHeight="1" x14ac:dyDescent="0.35">
      <c r="A62" s="1"/>
      <c r="B62" s="8"/>
      <c r="C62" s="91" t="s">
        <v>24</v>
      </c>
      <c r="D62" s="84" t="s">
        <v>58</v>
      </c>
      <c r="E62" s="87" t="s">
        <v>44</v>
      </c>
      <c r="F62" s="88"/>
      <c r="G62" s="45">
        <v>22</v>
      </c>
      <c r="H62" s="42" t="s">
        <v>28</v>
      </c>
      <c r="I62" s="42" t="s">
        <v>29</v>
      </c>
      <c r="J62" s="74" t="s">
        <v>48</v>
      </c>
      <c r="K62" s="74"/>
      <c r="L62" s="1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99" customFormat="1" ht="15" customHeight="1" x14ac:dyDescent="0.35">
      <c r="A63" s="1"/>
      <c r="B63" s="8"/>
      <c r="C63" s="91"/>
      <c r="D63" s="85"/>
      <c r="E63" s="87" t="s">
        <v>3</v>
      </c>
      <c r="F63" s="88"/>
      <c r="G63" s="46">
        <v>3380</v>
      </c>
      <c r="H63" s="89" t="s">
        <v>30</v>
      </c>
      <c r="I63" s="90"/>
      <c r="J63" s="74" t="s">
        <v>50</v>
      </c>
      <c r="K63" s="74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99" customFormat="1" ht="15" customHeight="1" x14ac:dyDescent="0.35">
      <c r="A64" s="1"/>
      <c r="B64" s="8"/>
      <c r="C64" s="91"/>
      <c r="D64" s="86"/>
      <c r="E64" s="87" t="s">
        <v>45</v>
      </c>
      <c r="F64" s="88"/>
      <c r="G64" s="45">
        <v>10</v>
      </c>
      <c r="H64" s="89" t="s">
        <v>36</v>
      </c>
      <c r="I64" s="90"/>
      <c r="J64" s="74" t="s">
        <v>49</v>
      </c>
      <c r="K64" s="74"/>
      <c r="L64" s="1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customFormat="1" ht="15" customHeight="1" x14ac:dyDescent="0.25">
      <c r="A65" s="1"/>
      <c r="B65" s="8"/>
      <c r="C65" s="91"/>
      <c r="D65" s="1"/>
      <c r="E65" s="9"/>
      <c r="F65" s="9"/>
      <c r="G65" s="9"/>
      <c r="H65" s="9"/>
      <c r="I65" s="9"/>
      <c r="J65" s="1"/>
      <c r="K65" s="1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customFormat="1" ht="30" customHeight="1" x14ac:dyDescent="0.25">
      <c r="A66" s="1"/>
      <c r="B66" s="8"/>
      <c r="C66" s="91"/>
      <c r="D66" s="35" t="s">
        <v>57</v>
      </c>
      <c r="E66" s="87" t="s">
        <v>5</v>
      </c>
      <c r="F66" s="88"/>
      <c r="G66" s="45">
        <v>25</v>
      </c>
      <c r="H66" s="20">
        <v>-40</v>
      </c>
      <c r="I66" s="20">
        <v>125</v>
      </c>
      <c r="J66" s="100" t="s">
        <v>38</v>
      </c>
      <c r="K66" s="100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customFormat="1" ht="15" customHeight="1" x14ac:dyDescent="0.25">
      <c r="A67" s="1"/>
      <c r="B67" s="8"/>
      <c r="C67" s="91"/>
      <c r="D67" s="1"/>
      <c r="E67" s="9"/>
      <c r="F67" s="9"/>
      <c r="G67" s="9"/>
      <c r="H67" s="28"/>
      <c r="I67" s="28"/>
      <c r="J67" s="1"/>
      <c r="K67" s="1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customFormat="1" ht="15" customHeight="1" x14ac:dyDescent="0.25">
      <c r="A68" s="1"/>
      <c r="B68" s="8"/>
      <c r="C68" s="91"/>
      <c r="D68" s="79" t="s">
        <v>1</v>
      </c>
      <c r="E68" s="82" t="s">
        <v>25</v>
      </c>
      <c r="F68" s="49" t="s">
        <v>32</v>
      </c>
      <c r="G68" s="58" t="str">
        <f>"0x"&amp;DEC2HEX(G69, 2)</f>
        <v>0x50</v>
      </c>
      <c r="H68" s="75" t="s">
        <v>37</v>
      </c>
      <c r="I68" s="76"/>
      <c r="J68" s="74" t="s">
        <v>26</v>
      </c>
      <c r="K68" s="74"/>
      <c r="L68" s="1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customFormat="1" ht="15" customHeight="1" x14ac:dyDescent="0.25">
      <c r="A69" s="1"/>
      <c r="B69" s="8"/>
      <c r="C69" s="91"/>
      <c r="D69" s="80"/>
      <c r="E69" s="83"/>
      <c r="F69" s="49" t="s">
        <v>33</v>
      </c>
      <c r="G69" s="58">
        <f>(256*((G64*1000)*EXP(G63*((1/(G66+273.15))-(1/(25+273.15))))))/((G62*1000)+((G64*1000)*EXP(G63*(1/(G66+273.15)-1/(25+273.15)))))</f>
        <v>80</v>
      </c>
      <c r="H69" s="77"/>
      <c r="I69" s="78"/>
      <c r="J69" s="74" t="s">
        <v>64</v>
      </c>
      <c r="K69" s="74"/>
      <c r="L69" s="1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customFormat="1" x14ac:dyDescent="0.25">
      <c r="A70" s="1"/>
      <c r="B70" s="8"/>
      <c r="C70" s="1"/>
      <c r="D70" s="1"/>
      <c r="E70" s="9"/>
      <c r="F70" s="9"/>
      <c r="G70" s="9"/>
      <c r="H70" s="9"/>
      <c r="I70" s="9"/>
      <c r="J70" s="1"/>
      <c r="K70" s="1"/>
      <c r="L70" s="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customFormat="1" x14ac:dyDescent="0.25">
      <c r="A71" s="1"/>
      <c r="B71" s="8"/>
      <c r="C71" s="1"/>
      <c r="E71" s="102" t="s">
        <v>9</v>
      </c>
      <c r="F71" s="103"/>
      <c r="G71" s="47" t="s">
        <v>10</v>
      </c>
      <c r="H71" s="30" t="s">
        <v>11</v>
      </c>
      <c r="I71" s="30" t="s">
        <v>12</v>
      </c>
      <c r="J71" s="92" t="s">
        <v>13</v>
      </c>
      <c r="K71" s="92"/>
      <c r="L71" s="1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customFormat="1" ht="15" customHeight="1" x14ac:dyDescent="0.35">
      <c r="A72" s="1"/>
      <c r="B72" s="8"/>
      <c r="C72" s="91" t="s">
        <v>4</v>
      </c>
      <c r="D72" s="84" t="s">
        <v>58</v>
      </c>
      <c r="E72" s="87" t="s">
        <v>44</v>
      </c>
      <c r="F72" s="88"/>
      <c r="G72" s="45">
        <v>22</v>
      </c>
      <c r="H72" s="42" t="s">
        <v>28</v>
      </c>
      <c r="I72" s="42" t="s">
        <v>29</v>
      </c>
      <c r="J72" s="74" t="s">
        <v>48</v>
      </c>
      <c r="K72" s="74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customFormat="1" ht="15" customHeight="1" x14ac:dyDescent="0.35">
      <c r="A73" s="1"/>
      <c r="B73" s="8"/>
      <c r="C73" s="91"/>
      <c r="D73" s="85"/>
      <c r="E73" s="87" t="s">
        <v>3</v>
      </c>
      <c r="F73" s="88"/>
      <c r="G73" s="46">
        <v>3380</v>
      </c>
      <c r="H73" s="89" t="s">
        <v>30</v>
      </c>
      <c r="I73" s="90"/>
      <c r="J73" s="74" t="s">
        <v>50</v>
      </c>
      <c r="K73" s="74"/>
      <c r="L73" s="1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customFormat="1" ht="15" customHeight="1" x14ac:dyDescent="0.35">
      <c r="A74" s="1"/>
      <c r="B74" s="8"/>
      <c r="C74" s="91"/>
      <c r="D74" s="86"/>
      <c r="E74" s="87" t="s">
        <v>45</v>
      </c>
      <c r="F74" s="88"/>
      <c r="G74" s="45">
        <v>10</v>
      </c>
      <c r="H74" s="89" t="s">
        <v>36</v>
      </c>
      <c r="I74" s="90"/>
      <c r="J74" s="74" t="s">
        <v>49</v>
      </c>
      <c r="K74" s="74"/>
      <c r="L74" s="1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customFormat="1" ht="15" customHeight="1" x14ac:dyDescent="0.25">
      <c r="A75" s="1"/>
      <c r="B75" s="8"/>
      <c r="C75" s="91"/>
      <c r="D75" s="1"/>
      <c r="E75" s="9"/>
      <c r="F75" s="9"/>
      <c r="G75" s="9"/>
      <c r="H75" s="27"/>
      <c r="I75" s="27"/>
      <c r="J75" s="1"/>
      <c r="K75" s="1"/>
      <c r="L75" s="1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customFormat="1" ht="15" customHeight="1" x14ac:dyDescent="0.25">
      <c r="A76" s="1"/>
      <c r="B76" s="8"/>
      <c r="C76" s="91"/>
      <c r="D76" s="79" t="s">
        <v>57</v>
      </c>
      <c r="E76" s="82" t="s">
        <v>31</v>
      </c>
      <c r="F76" s="49" t="s">
        <v>32</v>
      </c>
      <c r="G76" s="59" t="s">
        <v>65</v>
      </c>
      <c r="H76" s="41">
        <v>1</v>
      </c>
      <c r="I76" s="41">
        <v>255</v>
      </c>
      <c r="J76" s="74" t="s">
        <v>66</v>
      </c>
      <c r="K76" s="74"/>
      <c r="L76" s="10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customFormat="1" ht="15" customHeight="1" x14ac:dyDescent="0.25">
      <c r="A77" s="1"/>
      <c r="B77" s="8"/>
      <c r="C77" s="91"/>
      <c r="D77" s="80"/>
      <c r="E77" s="83"/>
      <c r="F77" s="49" t="s">
        <v>33</v>
      </c>
      <c r="G77" s="41">
        <f>HEX2DEC(RIGHT(G76,2))</f>
        <v>80</v>
      </c>
      <c r="H77" s="41" t="s">
        <v>39</v>
      </c>
      <c r="I77" s="41" t="s">
        <v>21</v>
      </c>
      <c r="J77" s="74" t="s">
        <v>64</v>
      </c>
      <c r="K77" s="74"/>
      <c r="L77" s="10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customFormat="1" ht="15" customHeight="1" x14ac:dyDescent="0.25">
      <c r="A78" s="1"/>
      <c r="B78" s="8"/>
      <c r="C78" s="91"/>
      <c r="D78" s="1"/>
      <c r="E78" s="9"/>
      <c r="F78" s="9"/>
      <c r="G78" s="9"/>
      <c r="H78" s="28"/>
      <c r="I78" s="28"/>
      <c r="J78" s="1"/>
      <c r="K78" s="1"/>
      <c r="L78" s="10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customFormat="1" x14ac:dyDescent="0.25">
      <c r="A79" s="1"/>
      <c r="B79" s="8"/>
      <c r="C79" s="91"/>
      <c r="D79" s="29" t="s">
        <v>1</v>
      </c>
      <c r="E79" s="87" t="s">
        <v>6</v>
      </c>
      <c r="F79" s="88"/>
      <c r="G79" s="56">
        <f>(1/((1/(25+273.15))+((LN((((G72*1000)*G77)/(256-G77))/(G74*1000)))/G73)))-273.15</f>
        <v>25</v>
      </c>
      <c r="H79" s="41">
        <v>-40</v>
      </c>
      <c r="I79" s="41">
        <v>125</v>
      </c>
      <c r="J79" s="74" t="s">
        <v>27</v>
      </c>
      <c r="K79" s="74"/>
      <c r="L79" s="10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customFormat="1" ht="7.5" customHeight="1" thickBot="1" x14ac:dyDescent="0.3">
      <c r="A80" s="1"/>
      <c r="B80" s="31"/>
      <c r="C80" s="32"/>
      <c r="D80" s="32"/>
      <c r="E80" s="33"/>
      <c r="F80" s="33"/>
      <c r="G80" s="33"/>
      <c r="H80" s="33"/>
      <c r="I80" s="33"/>
      <c r="J80" s="32"/>
      <c r="K80" s="32"/>
      <c r="L80" s="3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customFormat="1" x14ac:dyDescent="0.25">
      <c r="A81" s="1"/>
      <c r="B81" s="1"/>
      <c r="C81" s="1"/>
      <c r="D81" s="1"/>
      <c r="E81" s="9"/>
      <c r="F81" s="9"/>
      <c r="G81" s="9"/>
      <c r="H81" s="9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customFormat="1" x14ac:dyDescent="0.25">
      <c r="A82" s="1"/>
      <c r="B82" s="1"/>
      <c r="C82" s="1"/>
      <c r="D82" s="1"/>
      <c r="E82" s="9"/>
      <c r="F82" s="9"/>
      <c r="G82" s="9"/>
      <c r="H82" s="9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customFormat="1" x14ac:dyDescent="0.25">
      <c r="A83" s="1"/>
      <c r="B83" s="1"/>
      <c r="C83" s="1"/>
      <c r="D83" s="1"/>
      <c r="E83" s="9"/>
      <c r="F83" s="9"/>
      <c r="G83" s="9"/>
      <c r="H83" s="9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customFormat="1" x14ac:dyDescent="0.25">
      <c r="A84" s="1"/>
      <c r="B84" s="1"/>
      <c r="C84" s="1"/>
      <c r="D84" s="1"/>
      <c r="E84" s="9"/>
      <c r="F84" s="9"/>
      <c r="G84" s="9"/>
      <c r="H84" s="9"/>
      <c r="I84" s="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customFormat="1" x14ac:dyDescent="0.25">
      <c r="A85" s="1"/>
      <c r="B85" s="1"/>
      <c r="C85" s="1"/>
      <c r="D85" s="1"/>
      <c r="E85" s="9"/>
      <c r="F85" s="9"/>
      <c r="G85" s="9"/>
      <c r="H85" s="9"/>
      <c r="I85" s="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customFormat="1" x14ac:dyDescent="0.25">
      <c r="A86" s="1"/>
      <c r="B86" s="1"/>
      <c r="C86" s="1"/>
      <c r="D86" s="1"/>
      <c r="E86" s="9"/>
      <c r="F86" s="9"/>
      <c r="G86" s="9"/>
      <c r="H86" s="9"/>
      <c r="I86" s="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customFormat="1" x14ac:dyDescent="0.25">
      <c r="A87" s="1"/>
      <c r="B87" s="1"/>
      <c r="C87" s="1"/>
      <c r="D87" s="1"/>
      <c r="E87" s="9"/>
      <c r="F87" s="9"/>
      <c r="G87" s="9"/>
      <c r="H87" s="9"/>
      <c r="I87" s="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customFormat="1" x14ac:dyDescent="0.25">
      <c r="A88" s="1"/>
      <c r="B88" s="1"/>
      <c r="C88" s="1"/>
      <c r="D88" s="1"/>
      <c r="E88" s="9"/>
      <c r="F88" s="9"/>
      <c r="G88" s="9"/>
      <c r="H88" s="9"/>
      <c r="I88" s="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customFormat="1" x14ac:dyDescent="0.25">
      <c r="A89" s="1"/>
      <c r="B89" s="1"/>
      <c r="C89" s="1"/>
      <c r="D89" s="1"/>
      <c r="E89" s="9"/>
      <c r="F89" s="9"/>
      <c r="G89" s="9"/>
      <c r="H89" s="9"/>
      <c r="I89" s="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customFormat="1" x14ac:dyDescent="0.25">
      <c r="A90" s="1"/>
      <c r="B90" s="1"/>
      <c r="C90" s="1"/>
      <c r="D90" s="1"/>
      <c r="E90" s="9"/>
      <c r="F90" s="9"/>
      <c r="G90" s="9"/>
      <c r="H90" s="9"/>
      <c r="I90" s="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customFormat="1" x14ac:dyDescent="0.25">
      <c r="A91" s="1"/>
      <c r="B91" s="1"/>
      <c r="C91" s="1"/>
      <c r="D91" s="1"/>
      <c r="E91" s="9"/>
      <c r="F91" s="9"/>
      <c r="G91" s="9"/>
      <c r="H91" s="9"/>
      <c r="I91" s="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</sheetData>
  <sheetProtection algorithmName="SHA-512" hashValue="F6SWn2QoFPyhJYKA2/VpT8qKBf6ci20Jtb8oXPHTmVGF6Mgqtpg+sCF0j1SFYTO6CqKFC5bJeRx1MNlb0FMR1Q==" saltValue="58r3Y+qi8ey4kV2RMsttlA==" spinCount="100000" sheet="1" objects="1" scenarios="1"/>
  <mergeCells count="91">
    <mergeCell ref="J23:K23"/>
    <mergeCell ref="J41:K41"/>
    <mergeCell ref="J42:K42"/>
    <mergeCell ref="J45:K45"/>
    <mergeCell ref="J46:K46"/>
    <mergeCell ref="J19:K19"/>
    <mergeCell ref="B19:B23"/>
    <mergeCell ref="C19:C23"/>
    <mergeCell ref="D20:H20"/>
    <mergeCell ref="D21:D23"/>
    <mergeCell ref="E19:F19"/>
    <mergeCell ref="E23:F23"/>
    <mergeCell ref="E18:F18"/>
    <mergeCell ref="C16:K16"/>
    <mergeCell ref="E21:E22"/>
    <mergeCell ref="J21:K21"/>
    <mergeCell ref="J22:K22"/>
    <mergeCell ref="J66:K66"/>
    <mergeCell ref="J76:K76"/>
    <mergeCell ref="J79:K79"/>
    <mergeCell ref="C59:K59"/>
    <mergeCell ref="C72:C79"/>
    <mergeCell ref="J63:K63"/>
    <mergeCell ref="J64:K64"/>
    <mergeCell ref="J73:K73"/>
    <mergeCell ref="J74:K74"/>
    <mergeCell ref="J61:K61"/>
    <mergeCell ref="J62:K62"/>
    <mergeCell ref="J71:K71"/>
    <mergeCell ref="J72:K72"/>
    <mergeCell ref="H74:I74"/>
    <mergeCell ref="E79:F79"/>
    <mergeCell ref="H63:I63"/>
    <mergeCell ref="H64:I64"/>
    <mergeCell ref="E62:F62"/>
    <mergeCell ref="J37:K37"/>
    <mergeCell ref="J38:K38"/>
    <mergeCell ref="J39:K39"/>
    <mergeCell ref="J56:K56"/>
    <mergeCell ref="J54:K54"/>
    <mergeCell ref="J30:K30"/>
    <mergeCell ref="E56:F56"/>
    <mergeCell ref="E29:E30"/>
    <mergeCell ref="J32:K32"/>
    <mergeCell ref="E43:F43"/>
    <mergeCell ref="E47:F47"/>
    <mergeCell ref="E45:E46"/>
    <mergeCell ref="E52:F52"/>
    <mergeCell ref="C50:K50"/>
    <mergeCell ref="C35:K35"/>
    <mergeCell ref="C38:C47"/>
    <mergeCell ref="D41:D47"/>
    <mergeCell ref="J43:K43"/>
    <mergeCell ref="J47:K47"/>
    <mergeCell ref="E37:F37"/>
    <mergeCell ref="E38:F38"/>
    <mergeCell ref="E39:F39"/>
    <mergeCell ref="E41:E42"/>
    <mergeCell ref="D38:D39"/>
    <mergeCell ref="C53:C56"/>
    <mergeCell ref="J53:K53"/>
    <mergeCell ref="J29:K29"/>
    <mergeCell ref="J52:K52"/>
    <mergeCell ref="J28:K28"/>
    <mergeCell ref="E28:F28"/>
    <mergeCell ref="D53:D54"/>
    <mergeCell ref="D29:D30"/>
    <mergeCell ref="E53:E54"/>
    <mergeCell ref="C26:K26"/>
    <mergeCell ref="D62:D64"/>
    <mergeCell ref="C62:C69"/>
    <mergeCell ref="E32:F32"/>
    <mergeCell ref="E63:F63"/>
    <mergeCell ref="E64:F64"/>
    <mergeCell ref="E66:F66"/>
    <mergeCell ref="E61:F61"/>
    <mergeCell ref="C29:C32"/>
    <mergeCell ref="J68:K68"/>
    <mergeCell ref="H68:I69"/>
    <mergeCell ref="D68:D69"/>
    <mergeCell ref="E68:E69"/>
    <mergeCell ref="J77:K77"/>
    <mergeCell ref="D76:D77"/>
    <mergeCell ref="E76:E77"/>
    <mergeCell ref="D72:D74"/>
    <mergeCell ref="E71:F71"/>
    <mergeCell ref="E72:F72"/>
    <mergeCell ref="E73:F73"/>
    <mergeCell ref="E74:F74"/>
    <mergeCell ref="H73:I73"/>
    <mergeCell ref="J69:K69"/>
  </mergeCells>
  <phoneticPr fontId="14" type="noConversion"/>
  <conditionalFormatting sqref="G79">
    <cfRule type="expression" dxfId="0" priority="1">
      <formula>OR($G$79&lt;-40, $G$79&gt;125)</formula>
    </cfRule>
  </conditionalFormatting>
  <dataValidations disablePrompts="1" count="8">
    <dataValidation type="custom" allowBlank="1" showInputMessage="1" showErrorMessage="1" errorTitle="Overdischarge Voltage Error" error="The overdischarge voltage must be chosen between 2.51V and 4.05V and must be lower than the overcharge voltage" sqref="G38" xr:uid="{803C6BA8-FC6F-4AD1-B52A-9A5491E6307C}">
      <formula1>AND(G38&gt;=2.51,G38&lt;=4.05,G38&lt;G39)</formula1>
    </dataValidation>
    <dataValidation type="custom" allowBlank="1" showInputMessage="1" showErrorMessage="1" error="The overcharge voltage must be chosen between 2.70V and 4.78V and must be lower than the charge ready voltage" sqref="G39" xr:uid="{6BC5FE60-1EFC-42E5-97E9-8A084CE1B8A1}">
      <formula1>AND(G39&gt;=2.7,G39&lt;=4.78,G38&lt;G39)</formula1>
    </dataValidation>
    <dataValidation type="custom" allowBlank="1" showInputMessage="1" showErrorMessage="1" errorTitle="STO Register Value Error" error="The values read in the STO register are in a range between 0x00 to 0xFF and must be introduced in Hexadecimal format." sqref="G53" xr:uid="{ECEBC874-EE66-4B2E-A5E0-610793EF0EF8}">
      <formula1>AND(LEN(G53)=4, LEFT(G53,2)="0x", HEX2DEC(RIGHT(G53,2))&gt;=0, HEX2DEC(RIGHT(G53, 2))&lt;=255)</formula1>
    </dataValidation>
    <dataValidation type="decimal" allowBlank="1" showInputMessage="1" showErrorMessage="1" errorTitle="Resistor Divider Value Error" error="The resistor divider value must be in a range between 5 kΩ and 33 kΩ" sqref="G62 G72" xr:uid="{6833E6D7-42A6-445C-BD45-4DABB69932C0}">
      <formula1>5</formula1>
      <formula2>33</formula2>
    </dataValidation>
    <dataValidation type="decimal" allowBlank="1" showInputMessage="1" showErrorMessage="1" errorTitle="Temperature Value Error" error="The temperature may be in a range between -40ºC and 125ºC" sqref="G66" xr:uid="{5EF83D65-E3A6-4788-9C26-1F33897F645B}">
      <formula1>-40</formula1>
      <formula2>125</formula2>
    </dataValidation>
    <dataValidation type="custom" allowBlank="1" showInputMessage="1" showErrorMessage="1" errorTitle="SRC Register Value Error" error="The values read in the SRC register are within these ranges: _x000a_[0x00:0x39], [0x68:0x79] and [0x9F:0xA6] and must be introduced in Hexadecimal format." sqref="G29" xr:uid="{DDD14190-B06D-4B81-A0CE-D79DD90E1963}">
      <formula1>AND(LEN(G29)=4, LEFT(G29,2)="0x", OR(G30&lt;=57,AND(G30&gt;=104, G30&lt;=121),AND(G30&gt;=159, G30&lt;=166)))</formula1>
    </dataValidation>
    <dataValidation type="custom" allowBlank="1" showInputMessage="1" showErrorMessage="1" errorTitle="TEMP Register Value Error" error="The values read in the TEMP register are in a range between 1 and 255, or 0x01 to 0xFF in Hexadecimal format." sqref="G76" xr:uid="{B03A8E8B-E7A6-440A-B2F2-5DD7C62AAE65}">
      <formula1>AND(LEN(G76)=4, LEFT(G76,2)="0x", HEX2DEC(RIGHT(G76,2))&gt;0, HEX2DEC(RIGHT(G76, 2))&lt;=255)</formula1>
    </dataValidation>
    <dataValidation type="decimal" allowBlank="1" showInputMessage="1" showErrorMessage="1" errorTitle="Source Voltage Error" error="The source regulation voltage must be chosen in a range between 112 mV and 2.727 V" sqref="G19" xr:uid="{A8755FF0-F12D-4365-AB35-AB70EDDAE5C5}">
      <formula1>0.112</formula1>
      <formula2>2.727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7D7A-D246-4DFE-9B55-BAB530213B2F}">
  <dimension ref="B2:D12"/>
  <sheetViews>
    <sheetView workbookViewId="0">
      <selection activeCell="D15" sqref="D15"/>
    </sheetView>
  </sheetViews>
  <sheetFormatPr defaultColWidth="9.140625" defaultRowHeight="15" x14ac:dyDescent="0.25"/>
  <cols>
    <col min="1" max="1" width="3.7109375" style="1" customWidth="1"/>
    <col min="2" max="2" width="12.140625" style="1" customWidth="1"/>
    <col min="3" max="3" width="14" style="1" customWidth="1"/>
    <col min="4" max="4" width="83.7109375" style="1" customWidth="1"/>
    <col min="5" max="16384" width="9.140625" style="1"/>
  </cols>
  <sheetData>
    <row r="2" spans="2:4" ht="15.75" thickBot="1" x14ac:dyDescent="0.3">
      <c r="B2" s="72" t="s">
        <v>68</v>
      </c>
      <c r="C2" s="73" t="s">
        <v>69</v>
      </c>
      <c r="D2" s="65" t="s">
        <v>13</v>
      </c>
    </row>
    <row r="3" spans="2:4" x14ac:dyDescent="0.25">
      <c r="B3" s="26" t="s">
        <v>70</v>
      </c>
      <c r="C3" s="66" t="s">
        <v>73</v>
      </c>
      <c r="D3" s="63" t="s">
        <v>72</v>
      </c>
    </row>
    <row r="4" spans="2:4" x14ac:dyDescent="0.25">
      <c r="B4" s="67"/>
      <c r="C4" s="68"/>
      <c r="D4" s="62"/>
    </row>
    <row r="5" spans="2:4" x14ac:dyDescent="0.25">
      <c r="B5" s="26" t="s">
        <v>74</v>
      </c>
      <c r="C5" s="66" t="s">
        <v>75</v>
      </c>
      <c r="D5" s="63" t="s">
        <v>83</v>
      </c>
    </row>
    <row r="6" spans="2:4" x14ac:dyDescent="0.25">
      <c r="B6" s="69"/>
      <c r="C6" s="70"/>
      <c r="D6" s="62"/>
    </row>
    <row r="7" spans="2:4" x14ac:dyDescent="0.25">
      <c r="B7" s="26" t="s">
        <v>76</v>
      </c>
      <c r="C7" s="66" t="s">
        <v>71</v>
      </c>
      <c r="D7" s="64" t="s">
        <v>96</v>
      </c>
    </row>
    <row r="8" spans="2:4" x14ac:dyDescent="0.25">
      <c r="B8" s="26"/>
      <c r="C8" s="66"/>
      <c r="D8" s="64" t="s">
        <v>102</v>
      </c>
    </row>
    <row r="9" spans="2:4" x14ac:dyDescent="0.25">
      <c r="B9" s="26"/>
      <c r="C9" s="66"/>
      <c r="D9" s="64" t="s">
        <v>78</v>
      </c>
    </row>
    <row r="10" spans="2:4" x14ac:dyDescent="0.25">
      <c r="B10" s="26"/>
      <c r="C10" s="71"/>
      <c r="D10" s="64" t="s">
        <v>82</v>
      </c>
    </row>
    <row r="11" spans="2:4" x14ac:dyDescent="0.25">
      <c r="B11" s="26"/>
      <c r="C11" s="71"/>
      <c r="D11" s="64" t="s">
        <v>79</v>
      </c>
    </row>
    <row r="12" spans="2:4" x14ac:dyDescent="0.25">
      <c r="C12" s="132"/>
      <c r="D12" s="64" t="s">
        <v>77</v>
      </c>
    </row>
  </sheetData>
  <sheetProtection algorithmName="SHA-512" hashValue="V93B0eX59L3uFhu+7CIx6vsyiEJjkXhxwSCCNwoYUW9Wb3f9Y+UetBiXUZWUYeo1QVaMeE4W5QjnX9imwek22Q==" saltValue="acKDPhK2rBOoKRHMiLn37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Calculator</vt:lpstr>
      <vt:lpstr>Revision History</vt:lpstr>
      <vt:lpstr>Calculator!Print_Area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Louis</dc:creator>
  <cp:lastModifiedBy>Juan León Hidalgo García</cp:lastModifiedBy>
  <dcterms:created xsi:type="dcterms:W3CDTF">2021-06-14T08:47:00Z</dcterms:created>
  <dcterms:modified xsi:type="dcterms:W3CDTF">2025-04-28T15:08:03Z</dcterms:modified>
</cp:coreProperties>
</file>